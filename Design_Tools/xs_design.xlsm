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10" windowWidth="14810" windowHeight="8010" firstSheet="1" activeTab="1"/>
  </bookViews>
  <sheets>
    <sheet name="Particle_Entrainment" sheetId="16" state="hidden" r:id="rId1"/>
    <sheet name="XS" sheetId="11" r:id="rId2"/>
  </sheets>
  <calcPr calcId="152511"/>
</workbook>
</file>

<file path=xl/calcChain.xml><?xml version="1.0" encoding="utf-8"?>
<calcChain xmlns="http://schemas.openxmlformats.org/spreadsheetml/2006/main">
  <c r="B10" i="11" l="1"/>
  <c r="B12" i="11" s="1"/>
  <c r="B13" i="11" s="1"/>
  <c r="B20" i="11" l="1"/>
  <c r="B21" i="11" s="1"/>
  <c r="F7" i="11"/>
  <c r="I11" i="11" l="1"/>
  <c r="I10" i="11"/>
  <c r="I9" i="11"/>
  <c r="I8" i="11"/>
  <c r="F8" i="11" s="1"/>
  <c r="I5" i="11"/>
  <c r="I4" i="11"/>
  <c r="I3" i="11"/>
  <c r="I2" i="11"/>
  <c r="H2" i="11"/>
  <c r="H3" i="11" s="1"/>
  <c r="H4" i="11" l="1"/>
  <c r="H5" i="11" s="1"/>
  <c r="E3" i="11"/>
  <c r="F3" i="11"/>
  <c r="F9" i="11"/>
  <c r="F4" i="11"/>
  <c r="F10" i="11"/>
  <c r="F5" i="11"/>
  <c r="F6" i="11"/>
  <c r="F11" i="11"/>
  <c r="G2" i="11"/>
  <c r="E4" i="11" l="1"/>
  <c r="G3" i="11"/>
  <c r="B9" i="11" l="1"/>
  <c r="B17" i="11" s="1"/>
  <c r="I15" i="11"/>
  <c r="K15" i="11" s="1"/>
  <c r="I14" i="11" l="1"/>
  <c r="K14" i="11" s="1"/>
  <c r="B14" i="11"/>
  <c r="I16" i="11"/>
  <c r="K16" i="11" s="1"/>
  <c r="E5" i="11" l="1"/>
  <c r="G4" i="11"/>
  <c r="H6" i="11"/>
  <c r="E6" i="11" s="1"/>
  <c r="H7" i="11" l="1"/>
  <c r="E7" i="11" s="1"/>
  <c r="G5" i="11"/>
  <c r="G6" i="11" l="1"/>
  <c r="H8" i="11"/>
  <c r="G7" i="11" l="1"/>
  <c r="B15" i="11" s="1"/>
  <c r="B16" i="11" s="1"/>
  <c r="B18" i="11" s="1"/>
  <c r="B19" i="11" s="1"/>
  <c r="I17" i="11" s="1"/>
  <c r="K17" i="11" s="1"/>
  <c r="E8" i="11"/>
  <c r="H9" i="11"/>
  <c r="H10" i="11" l="1"/>
  <c r="G8" i="11"/>
  <c r="E9" i="11"/>
  <c r="B11" i="11" l="1"/>
  <c r="G9" i="11"/>
  <c r="E10" i="11"/>
  <c r="H11" i="11"/>
  <c r="G10" i="11" l="1"/>
  <c r="E11" i="11"/>
</calcChain>
</file>

<file path=xl/comments1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The H:V ratio for the left channel bank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The H:V ratio for the right channel bank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The maximum channel depth at bankfull flow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The width of the bottom of the channel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The width of the floodplain divided by the bankfull width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The H:V of the terrace slopes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>Manning's n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Average slope of the water surface in the channel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The area of the channel at bankfull flow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The width of the channel at bankfull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The bankfull width divided by the channel's mean depth at bankfull</t>
        </r>
      </text>
    </comment>
    <comment ref="A15" authorId="0" shapeId="0">
      <text>
        <r>
          <rPr>
            <b/>
            <sz val="9"/>
            <color indexed="81"/>
            <rFont val="Tahoma"/>
            <family val="2"/>
          </rPr>
          <t>The wetted perimeter at bankfull</t>
        </r>
      </text>
    </comment>
    <comment ref="A16" authorId="0" shapeId="0">
      <text>
        <r>
          <rPr>
            <b/>
            <sz val="9"/>
            <color indexed="81"/>
            <rFont val="Tahoma"/>
            <family val="2"/>
          </rPr>
          <t>The bankfull area divided by the wetted perimeter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The mean depth of the channel at bankfull flow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</rPr>
          <t>The mean discharge velocity at bankfull flow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9" authorId="0" shapeId="0">
      <text>
        <r>
          <rPr>
            <b/>
            <sz val="9"/>
            <color indexed="81"/>
            <rFont val="Tahoma"/>
            <family val="2"/>
          </rPr>
          <t>The discharge rate at bankfull flow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The maximum shear stress at bankfull flow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The largest particle size that can be moved by the channel at bankfull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<sst xmlns="http://schemas.openxmlformats.org/spreadsheetml/2006/main" count="68" uniqueCount="68">
  <si>
    <t>Station</t>
  </si>
  <si>
    <t>Elevation</t>
  </si>
  <si>
    <t>Description</t>
  </si>
  <si>
    <t>Terrace Slope</t>
  </si>
  <si>
    <t>Channel Roughness</t>
  </si>
  <si>
    <t>Entrenchment Ratio</t>
  </si>
  <si>
    <t>Leftmost</t>
  </si>
  <si>
    <t>Rightmost</t>
  </si>
  <si>
    <t>Right Top of Terrace</t>
  </si>
  <si>
    <t>Right Edge of Floodplain</t>
  </si>
  <si>
    <t>Right Top of Bank</t>
  </si>
  <si>
    <t>Right Bottom of Channel</t>
  </si>
  <si>
    <t>Left Bottom of Channel</t>
  </si>
  <si>
    <t>Left Top of Bank</t>
  </si>
  <si>
    <t>Left Edge of Floodplain</t>
  </si>
  <si>
    <t>Left Top of Terrace</t>
  </si>
  <si>
    <t>Segment Length</t>
  </si>
  <si>
    <t>--</t>
  </si>
  <si>
    <t>Bankfull Width (ft)</t>
  </si>
  <si>
    <t>Bankfull Area (sq ft)</t>
  </si>
  <si>
    <t>Wetted Perimeter (ft)</t>
  </si>
  <si>
    <t>Hydraulic Radius (ft)</t>
  </si>
  <si>
    <t>Bankfull Discharge (cfs)</t>
  </si>
  <si>
    <t>Discharge Velocity (ft/s)</t>
  </si>
  <si>
    <t>Parameter</t>
  </si>
  <si>
    <t>Area</t>
  </si>
  <si>
    <t>Width</t>
  </si>
  <si>
    <t>Depth</t>
  </si>
  <si>
    <t>Discharge</t>
  </si>
  <si>
    <t>Error</t>
  </si>
  <si>
    <t>Max Depth (ft)</t>
  </si>
  <si>
    <t>Mean Depth (ft)</t>
  </si>
  <si>
    <t>Final</t>
  </si>
  <si>
    <t>Bottom Width (ft)</t>
  </si>
  <si>
    <t>Particles Mobilized</t>
  </si>
  <si>
    <t>dx</t>
  </si>
  <si>
    <t>dy</t>
  </si>
  <si>
    <t>Left Bank Slope (ft/ft)</t>
  </si>
  <si>
    <t>Right Bank Slope (ft/ft)</t>
  </si>
  <si>
    <t>Max Shear Stress (lb/sq ft)</t>
  </si>
  <si>
    <t>Particle</t>
  </si>
  <si>
    <t>Very Large Boulders</t>
  </si>
  <si>
    <t>Large Boulders</t>
  </si>
  <si>
    <t>Medium Boulders</t>
  </si>
  <si>
    <t>Small Boulders</t>
  </si>
  <si>
    <t>Very Coarse Gravel</t>
  </si>
  <si>
    <t>Coarse Gravel</t>
  </si>
  <si>
    <t>Medium Gravel</t>
  </si>
  <si>
    <t>Fine Gravel</t>
  </si>
  <si>
    <t>Very Fine Gravel</t>
  </si>
  <si>
    <t>Very Coarse Sand</t>
  </si>
  <si>
    <t>Coarse Sand</t>
  </si>
  <si>
    <t>Medium Sand</t>
  </si>
  <si>
    <t>Fine Sand</t>
  </si>
  <si>
    <t>Very Fine Sand</t>
  </si>
  <si>
    <t>Silt</t>
  </si>
  <si>
    <t>tau_crit (lbs/sf)</t>
  </si>
  <si>
    <t>None</t>
  </si>
  <si>
    <t>-</t>
  </si>
  <si>
    <t>Width-to-Depth Ratio</t>
  </si>
  <si>
    <t>WS Slope</t>
  </si>
  <si>
    <t>Large Cobble</t>
  </si>
  <si>
    <t>Small Cobble</t>
  </si>
  <si>
    <t>Bench Width (ft)</t>
  </si>
  <si>
    <t>Current</t>
  </si>
  <si>
    <t>Desired</t>
  </si>
  <si>
    <t>Floodprone Width (ft)</t>
  </si>
  <si>
    <t>Floodplain 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</si>
</sst>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2" fontId="0" fillId="0" borderId="0" xfId="0" applyNumberFormat="1"/>
    <xf numFmtId="164" fontId="0" fillId="0" borderId="0" xfId="0" applyNumberFormat="1"/>
    <xf numFmtId="0" fontId="2" fillId="2" borderId="0" xfId="0" applyFont="1" applyFill="1"/>
    <xf numFmtId="0" fontId="2" fillId="3" borderId="0" xfId="0" applyFont="1" applyFill="1"/>
    <xf numFmtId="0" fontId="0" fillId="0" borderId="0" xfId="0" applyAlignment="1">
      <alignment horizontal="center"/>
    </xf>
    <xf numFmtId="0" fontId="2" fillId="4" borderId="0" xfId="0" applyFont="1" applyFill="1"/>
    <xf numFmtId="0" fontId="0" fillId="5" borderId="1" xfId="0" applyFill="1" applyBorder="1"/>
    <xf numFmtId="0" fontId="2" fillId="0" borderId="0" xfId="0" quotePrefix="1" applyFont="1"/>
    <xf numFmtId="1" fontId="0" fillId="5" borderId="1" xfId="0" applyNumberFormat="1" applyFill="1" applyBorder="1"/>
    <xf numFmtId="2" fontId="0" fillId="0" borderId="0" xfId="0" applyNumberFormat="1" applyAlignment="1">
      <alignment horizontal="right"/>
    </xf>
    <xf numFmtId="2" fontId="0" fillId="0" borderId="0" xfId="0" quotePrefix="1" applyNumberFormat="1"/>
    <xf numFmtId="0" fontId="2" fillId="0" borderId="2" xfId="0" applyFont="1" applyBorder="1"/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0" fontId="0" fillId="0" borderId="5" xfId="0" applyBorder="1"/>
    <xf numFmtId="0" fontId="0" fillId="0" borderId="0" xfId="0" applyBorder="1"/>
    <xf numFmtId="2" fontId="0" fillId="0" borderId="0" xfId="0" applyNumberFormat="1" applyBorder="1"/>
    <xf numFmtId="2" fontId="0" fillId="0" borderId="6" xfId="0" applyNumberFormat="1" applyBorder="1"/>
    <xf numFmtId="0" fontId="0" fillId="0" borderId="7" xfId="0" applyBorder="1"/>
    <xf numFmtId="2" fontId="0" fillId="0" borderId="8" xfId="0" applyNumberFormat="1" applyBorder="1"/>
    <xf numFmtId="2" fontId="0" fillId="0" borderId="9" xfId="0" applyNumberFormat="1" applyBorder="1"/>
    <xf numFmtId="0" fontId="2" fillId="0" borderId="2" xfId="0" applyFont="1" applyBorder="1" applyAlignment="1">
      <alignment horizontal="right"/>
    </xf>
    <xf numFmtId="2" fontId="0" fillId="0" borderId="5" xfId="0" applyNumberFormat="1" applyBorder="1"/>
    <xf numFmtId="2" fontId="0" fillId="0" borderId="7" xfId="0" applyNumberFormat="1" applyBorder="1"/>
    <xf numFmtId="0" fontId="0" fillId="0" borderId="9" xfId="0" quotePrefix="1" applyBorder="1" applyAlignment="1">
      <alignment horizontal="center"/>
    </xf>
    <xf numFmtId="165" fontId="0" fillId="0" borderId="0" xfId="1" applyNumberFormat="1" applyFont="1" applyBorder="1"/>
    <xf numFmtId="165" fontId="0" fillId="0" borderId="8" xfId="1" applyNumberFormat="1" applyFont="1" applyBorder="1"/>
    <xf numFmtId="0" fontId="2" fillId="4" borderId="11" xfId="0" applyFont="1" applyFill="1" applyBorder="1"/>
    <xf numFmtId="164" fontId="0" fillId="0" borderId="10" xfId="0" applyNumberFormat="1" applyBorder="1"/>
    <xf numFmtId="0" fontId="2" fillId="2" borderId="11" xfId="0" applyFont="1" applyFill="1" applyBorder="1"/>
    <xf numFmtId="0" fontId="0" fillId="0" borderId="10" xfId="0" applyBorder="1" applyAlignment="1">
      <alignment horizontal="right"/>
    </xf>
    <xf numFmtId="0" fontId="2" fillId="0" borderId="12" xfId="0" applyFont="1" applyBorder="1"/>
    <xf numFmtId="0" fontId="0" fillId="0" borderId="1" xfId="0" applyBorder="1"/>
    <xf numFmtId="0" fontId="0" fillId="0" borderId="13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Designed</a:t>
            </a:r>
            <a:r>
              <a:rPr lang="en-US" baseline="0"/>
              <a:t> XS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XS!$I$1</c:f>
              <c:strCache>
                <c:ptCount val="1"/>
                <c:pt idx="0">
                  <c:v>Elevation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XS!$H$2:$H$11</c:f>
              <c:numCache>
                <c:formatCode>0.00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18</c:v>
                </c:pt>
                <c:pt idx="4">
                  <c:v>24</c:v>
                </c:pt>
                <c:pt idx="5">
                  <c:v>29</c:v>
                </c:pt>
                <c:pt idx="6">
                  <c:v>35</c:v>
                </c:pt>
                <c:pt idx="7">
                  <c:v>46</c:v>
                </c:pt>
                <c:pt idx="8">
                  <c:v>52</c:v>
                </c:pt>
                <c:pt idx="9">
                  <c:v>53</c:v>
                </c:pt>
              </c:numCache>
            </c:numRef>
          </c:xVal>
          <c:yVal>
            <c:numRef>
              <c:f>XS!$I$2:$I$11</c:f>
              <c:numCache>
                <c:formatCode>0.00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957536"/>
        <c:axId val="429954400"/>
      </c:scatterChart>
      <c:valAx>
        <c:axId val="42995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954400"/>
        <c:crosses val="autoZero"/>
        <c:crossBetween val="midCat"/>
      </c:valAx>
      <c:valAx>
        <c:axId val="42995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957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156240</xdr:colOff>
      <xdr:row>0</xdr:row>
      <xdr:rowOff>0</xdr:rowOff>
    </xdr:from>
    <xdr:to>
      <xdr:col>14</xdr:col>
      <xdr:colOff>441399</xdr:colOff>
      <xdr:row>10</xdr:row>
      <xdr:rowOff>141175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workbookViewId="0">
      <selection activeCell="B8" sqref="B8"/>
    </sheetView>
  </sheetViews>
  <sheetFormatPr defaultRowHeight="14.5" x14ac:dyDescent="0.35"/>
  <cols>
    <col min="1" max="1" width="17.36328125" customWidth="1"/>
    <col min="2" max="2" width="18.08984375" customWidth="1"/>
  </cols>
  <sheetData>
    <row r="1" spans="1:2" x14ac:dyDescent="0.35">
      <c r="A1" t="s">
        <v>40</v>
      </c>
      <c r="B1" t="s">
        <v>56</v>
      </c>
    </row>
    <row r="2" spans="1:2" x14ac:dyDescent="0.35">
      <c r="A2" s="6" t="s">
        <v>58</v>
      </c>
      <c r="B2">
        <v>10000</v>
      </c>
    </row>
    <row r="3" spans="1:2" x14ac:dyDescent="0.35">
      <c r="A3" t="s">
        <v>41</v>
      </c>
      <c r="B3">
        <v>37.4</v>
      </c>
    </row>
    <row r="4" spans="1:2" x14ac:dyDescent="0.35">
      <c r="A4" t="s">
        <v>42</v>
      </c>
      <c r="B4">
        <v>18.7</v>
      </c>
    </row>
    <row r="5" spans="1:2" x14ac:dyDescent="0.35">
      <c r="A5" t="s">
        <v>43</v>
      </c>
      <c r="B5">
        <v>9.3000000000000007</v>
      </c>
    </row>
    <row r="6" spans="1:2" x14ac:dyDescent="0.35">
      <c r="A6" t="s">
        <v>44</v>
      </c>
      <c r="B6">
        <v>4.7</v>
      </c>
    </row>
    <row r="7" spans="1:2" x14ac:dyDescent="0.35">
      <c r="A7" t="s">
        <v>61</v>
      </c>
      <c r="B7">
        <v>2.2999999999999998</v>
      </c>
    </row>
    <row r="8" spans="1:2" x14ac:dyDescent="0.35">
      <c r="A8" t="s">
        <v>62</v>
      </c>
      <c r="B8">
        <v>1.1000000000000001</v>
      </c>
    </row>
    <row r="9" spans="1:2" x14ac:dyDescent="0.35">
      <c r="A9" t="s">
        <v>45</v>
      </c>
      <c r="B9">
        <v>0.54</v>
      </c>
    </row>
    <row r="10" spans="1:2" x14ac:dyDescent="0.35">
      <c r="A10" t="s">
        <v>46</v>
      </c>
      <c r="B10">
        <v>0.25</v>
      </c>
    </row>
    <row r="11" spans="1:2" x14ac:dyDescent="0.35">
      <c r="A11" t="s">
        <v>47</v>
      </c>
      <c r="B11">
        <v>0.12</v>
      </c>
    </row>
    <row r="12" spans="1:2" x14ac:dyDescent="0.35">
      <c r="A12" t="s">
        <v>48</v>
      </c>
      <c r="B12">
        <v>0.06</v>
      </c>
    </row>
    <row r="13" spans="1:2" x14ac:dyDescent="0.35">
      <c r="A13" t="s">
        <v>49</v>
      </c>
      <c r="B13">
        <v>0.03</v>
      </c>
    </row>
    <row r="14" spans="1:2" x14ac:dyDescent="0.35">
      <c r="A14" t="s">
        <v>50</v>
      </c>
      <c r="B14">
        <v>0.01</v>
      </c>
    </row>
    <row r="15" spans="1:2" x14ac:dyDescent="0.35">
      <c r="A15" t="s">
        <v>51</v>
      </c>
      <c r="B15">
        <v>6.0000000000000001E-3</v>
      </c>
    </row>
    <row r="16" spans="1:2" x14ac:dyDescent="0.35">
      <c r="A16" t="s">
        <v>52</v>
      </c>
      <c r="B16">
        <v>4.0000000000000001E-3</v>
      </c>
    </row>
    <row r="17" spans="1:2" x14ac:dyDescent="0.35">
      <c r="A17" t="s">
        <v>53</v>
      </c>
      <c r="B17">
        <v>3.0000000000000001E-3</v>
      </c>
    </row>
    <row r="18" spans="1:2" x14ac:dyDescent="0.35">
      <c r="A18" t="s">
        <v>54</v>
      </c>
      <c r="B18">
        <v>2E-3</v>
      </c>
    </row>
    <row r="19" spans="1:2" x14ac:dyDescent="0.35">
      <c r="A19" t="s">
        <v>55</v>
      </c>
      <c r="B19">
        <v>1E-3</v>
      </c>
    </row>
    <row r="20" spans="1:2" x14ac:dyDescent="0.35">
      <c r="A20" t="s">
        <v>57</v>
      </c>
      <c r="B2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2"/>
  <sheetViews>
    <sheetView tabSelected="1" zoomScale="88" zoomScaleNormal="88" workbookViewId="0">
      <selection activeCell="D15" sqref="D15"/>
    </sheetView>
  </sheetViews>
  <sheetFormatPr defaultRowHeight="14.5" x14ac:dyDescent="0.35"/>
  <cols>
    <col min="1" max="1" width="23.453125" customWidth="1"/>
    <col min="2" max="2" width="17.08984375" customWidth="1"/>
    <col min="3" max="3" width="3.08984375" style="8" customWidth="1"/>
    <col min="4" max="4" width="25.453125" customWidth="1"/>
    <col min="5" max="5" width="6" customWidth="1"/>
    <col min="6" max="6" width="5.90625" customWidth="1"/>
    <col min="7" max="7" width="14.453125" customWidth="1"/>
    <col min="8" max="8" width="12.1796875" customWidth="1"/>
    <col min="10" max="10" width="9.54296875" customWidth="1"/>
    <col min="11" max="11" width="10.08984375" customWidth="1"/>
    <col min="12" max="12" width="9.36328125" customWidth="1"/>
    <col min="13" max="13" width="11.7265625" customWidth="1"/>
    <col min="16" max="16" width="27.36328125" style="8" customWidth="1"/>
  </cols>
  <sheetData>
    <row r="1" spans="1:15" x14ac:dyDescent="0.35">
      <c r="A1" s="5" t="s">
        <v>37</v>
      </c>
      <c r="B1" s="2">
        <v>3</v>
      </c>
      <c r="D1" s="13" t="s">
        <v>2</v>
      </c>
      <c r="E1" s="23" t="s">
        <v>35</v>
      </c>
      <c r="F1" s="14" t="s">
        <v>36</v>
      </c>
      <c r="G1" s="15" t="s">
        <v>16</v>
      </c>
      <c r="H1" s="23" t="s">
        <v>0</v>
      </c>
      <c r="I1" s="15" t="s">
        <v>1</v>
      </c>
    </row>
    <row r="2" spans="1:15" x14ac:dyDescent="0.35">
      <c r="A2" s="5" t="s">
        <v>38</v>
      </c>
      <c r="B2" s="2">
        <v>3</v>
      </c>
      <c r="D2" s="16" t="s">
        <v>6</v>
      </c>
      <c r="E2" s="16">
        <v>0</v>
      </c>
      <c r="F2" s="17">
        <v>0</v>
      </c>
      <c r="G2" s="19">
        <f t="shared" ref="G2:G10" si="0">SQRT((H3-H2)^2+(I3-I2)^2)</f>
        <v>1</v>
      </c>
      <c r="H2" s="24">
        <f>0</f>
        <v>0</v>
      </c>
      <c r="I2" s="19">
        <f>B3*2</f>
        <v>4</v>
      </c>
    </row>
    <row r="3" spans="1:15" x14ac:dyDescent="0.35">
      <c r="A3" s="5" t="s">
        <v>30</v>
      </c>
      <c r="B3" s="2">
        <v>2</v>
      </c>
      <c r="D3" s="16" t="s">
        <v>15</v>
      </c>
      <c r="E3" s="24">
        <f>H3-H2</f>
        <v>1</v>
      </c>
      <c r="F3" s="18">
        <f>I3-I2</f>
        <v>0</v>
      </c>
      <c r="G3" s="19">
        <f t="shared" si="0"/>
        <v>6.324555320336759</v>
      </c>
      <c r="H3" s="24">
        <f>H2+1</f>
        <v>1</v>
      </c>
      <c r="I3" s="19">
        <f>B3*2</f>
        <v>4</v>
      </c>
    </row>
    <row r="4" spans="1:15" x14ac:dyDescent="0.35">
      <c r="A4" s="5" t="s">
        <v>33</v>
      </c>
      <c r="B4" s="2">
        <v>5</v>
      </c>
      <c r="D4" s="16" t="s">
        <v>14</v>
      </c>
      <c r="E4" s="24">
        <f t="shared" ref="E4:E11" si="1">H4-H3</f>
        <v>6</v>
      </c>
      <c r="F4" s="18">
        <f t="shared" ref="F4:F11" si="2">I4-I3</f>
        <v>-2</v>
      </c>
      <c r="G4" s="19">
        <f t="shared" si="0"/>
        <v>11</v>
      </c>
      <c r="H4" s="24">
        <f>H3+B3*B6</f>
        <v>7</v>
      </c>
      <c r="I4" s="19">
        <f>B3</f>
        <v>2</v>
      </c>
    </row>
    <row r="5" spans="1:15" x14ac:dyDescent="0.35">
      <c r="A5" s="7" t="s">
        <v>5</v>
      </c>
      <c r="B5" s="2">
        <v>3</v>
      </c>
      <c r="D5" s="16" t="s">
        <v>13</v>
      </c>
      <c r="E5" s="24">
        <f t="shared" si="1"/>
        <v>11</v>
      </c>
      <c r="F5" s="18">
        <f t="shared" si="2"/>
        <v>0</v>
      </c>
      <c r="G5" s="19">
        <f t="shared" si="0"/>
        <v>6.324555320336759</v>
      </c>
      <c r="H5" s="24">
        <f>H4+B12</f>
        <v>18</v>
      </c>
      <c r="I5" s="19">
        <f>B3</f>
        <v>2</v>
      </c>
    </row>
    <row r="6" spans="1:15" x14ac:dyDescent="0.35">
      <c r="A6" s="7" t="s">
        <v>3</v>
      </c>
      <c r="B6" s="2">
        <v>3</v>
      </c>
      <c r="D6" s="16" t="s">
        <v>12</v>
      </c>
      <c r="E6" s="24">
        <f t="shared" si="1"/>
        <v>6</v>
      </c>
      <c r="F6" s="18">
        <f t="shared" si="2"/>
        <v>-2</v>
      </c>
      <c r="G6" s="19">
        <f t="shared" si="0"/>
        <v>5</v>
      </c>
      <c r="H6" s="24">
        <f>H5+B1*B3</f>
        <v>24</v>
      </c>
      <c r="I6" s="19">
        <v>0</v>
      </c>
      <c r="J6" s="2"/>
    </row>
    <row r="7" spans="1:15" x14ac:dyDescent="0.35">
      <c r="A7" s="7" t="s">
        <v>4</v>
      </c>
      <c r="B7" s="3">
        <v>3.5000000000000003E-2</v>
      </c>
      <c r="D7" s="16" t="s">
        <v>11</v>
      </c>
      <c r="E7" s="24">
        <f t="shared" si="1"/>
        <v>5</v>
      </c>
      <c r="F7" s="18">
        <f t="shared" si="2"/>
        <v>0</v>
      </c>
      <c r="G7" s="19">
        <f t="shared" si="0"/>
        <v>6.324555320336759</v>
      </c>
      <c r="H7" s="24">
        <f>H6+B4</f>
        <v>29</v>
      </c>
      <c r="I7" s="19">
        <v>0</v>
      </c>
    </row>
    <row r="8" spans="1:15" ht="15" thickBot="1" x14ac:dyDescent="0.4">
      <c r="A8" s="29" t="s">
        <v>60</v>
      </c>
      <c r="B8" s="30">
        <v>0.01</v>
      </c>
      <c r="D8" s="16" t="s">
        <v>10</v>
      </c>
      <c r="E8" s="24">
        <f t="shared" si="1"/>
        <v>6</v>
      </c>
      <c r="F8" s="18">
        <f t="shared" si="2"/>
        <v>2</v>
      </c>
      <c r="G8" s="19">
        <f t="shared" si="0"/>
        <v>11</v>
      </c>
      <c r="H8" s="24">
        <f>H7+B2*B3</f>
        <v>35</v>
      </c>
      <c r="I8" s="19">
        <f>B3</f>
        <v>2</v>
      </c>
    </row>
    <row r="9" spans="1:15" x14ac:dyDescent="0.35">
      <c r="A9" s="4" t="s">
        <v>19</v>
      </c>
      <c r="B9" s="2">
        <f>AVERAGE(B4,B10)*B3</f>
        <v>22</v>
      </c>
      <c r="D9" s="16" t="s">
        <v>9</v>
      </c>
      <c r="E9" s="24">
        <f t="shared" si="1"/>
        <v>11</v>
      </c>
      <c r="F9" s="18">
        <f t="shared" si="2"/>
        <v>0</v>
      </c>
      <c r="G9" s="19">
        <f t="shared" si="0"/>
        <v>6.324555320336759</v>
      </c>
      <c r="H9" s="24">
        <f>H8+B12</f>
        <v>46</v>
      </c>
      <c r="I9" s="19">
        <f>B3</f>
        <v>2</v>
      </c>
    </row>
    <row r="10" spans="1:15" x14ac:dyDescent="0.35">
      <c r="A10" s="4" t="s">
        <v>18</v>
      </c>
      <c r="B10" s="2">
        <f>B4+B1*B3+B2*B3</f>
        <v>17</v>
      </c>
      <c r="D10" s="16" t="s">
        <v>8</v>
      </c>
      <c r="E10" s="24">
        <f t="shared" si="1"/>
        <v>6</v>
      </c>
      <c r="F10" s="18">
        <f t="shared" si="2"/>
        <v>2</v>
      </c>
      <c r="G10" s="19">
        <f t="shared" si="0"/>
        <v>1</v>
      </c>
      <c r="H10" s="24">
        <f>H9+B6*B3</f>
        <v>52</v>
      </c>
      <c r="I10" s="19">
        <f>B3*2</f>
        <v>4</v>
      </c>
    </row>
    <row r="11" spans="1:15" x14ac:dyDescent="0.35">
      <c r="A11" s="4" t="s">
        <v>66</v>
      </c>
      <c r="B11" s="2">
        <f>H10-H3</f>
        <v>51</v>
      </c>
      <c r="D11" s="20" t="s">
        <v>7</v>
      </c>
      <c r="E11" s="25">
        <f t="shared" si="1"/>
        <v>1</v>
      </c>
      <c r="F11" s="21">
        <f t="shared" si="2"/>
        <v>0</v>
      </c>
      <c r="G11" s="26" t="s">
        <v>17</v>
      </c>
      <c r="H11" s="25">
        <f>H10+1</f>
        <v>53</v>
      </c>
      <c r="I11" s="22">
        <f>B3*2</f>
        <v>4</v>
      </c>
    </row>
    <row r="12" spans="1:15" x14ac:dyDescent="0.35">
      <c r="A12" s="4" t="s">
        <v>63</v>
      </c>
      <c r="B12" s="2">
        <f>(B5*B10-(2*B6*B3+B1*B3+B2*B3+B4))/2</f>
        <v>11</v>
      </c>
    </row>
    <row r="13" spans="1:15" x14ac:dyDescent="0.35">
      <c r="A13" s="4" t="s">
        <v>67</v>
      </c>
      <c r="B13" s="2">
        <f>B10+2*B12</f>
        <v>39</v>
      </c>
      <c r="H13" s="33" t="s">
        <v>24</v>
      </c>
      <c r="I13" s="14" t="s">
        <v>64</v>
      </c>
      <c r="J13" s="14" t="s">
        <v>65</v>
      </c>
      <c r="K13" s="14" t="s">
        <v>29</v>
      </c>
      <c r="L13" s="15" t="s">
        <v>32</v>
      </c>
    </row>
    <row r="14" spans="1:15" x14ac:dyDescent="0.35">
      <c r="A14" s="4" t="s">
        <v>59</v>
      </c>
      <c r="B14" s="2">
        <f>B10/B17</f>
        <v>13.136363636363635</v>
      </c>
      <c r="E14" s="11"/>
      <c r="H14" s="34" t="s">
        <v>25</v>
      </c>
      <c r="I14" s="18">
        <f>B9</f>
        <v>22</v>
      </c>
      <c r="J14" s="18">
        <v>0</v>
      </c>
      <c r="K14" s="27" t="e">
        <f t="shared" ref="K14:K16" si="3">I14/J14-1</f>
        <v>#DIV/0!</v>
      </c>
      <c r="L14" s="19"/>
    </row>
    <row r="15" spans="1:15" x14ac:dyDescent="0.35">
      <c r="A15" s="4" t="s">
        <v>20</v>
      </c>
      <c r="B15" s="2">
        <f>G5+G6+G7</f>
        <v>17.64911064067352</v>
      </c>
      <c r="E15" s="2"/>
      <c r="H15" s="34" t="s">
        <v>26</v>
      </c>
      <c r="I15" s="18">
        <f>B10</f>
        <v>17</v>
      </c>
      <c r="J15" s="18">
        <v>0</v>
      </c>
      <c r="K15" s="27" t="e">
        <f t="shared" si="3"/>
        <v>#DIV/0!</v>
      </c>
      <c r="L15" s="19"/>
      <c r="N15" s="1"/>
    </row>
    <row r="16" spans="1:15" x14ac:dyDescent="0.35">
      <c r="A16" s="4" t="s">
        <v>21</v>
      </c>
      <c r="B16" s="2">
        <f>B9/B15</f>
        <v>1.2465217340356842</v>
      </c>
      <c r="E16" s="2"/>
      <c r="H16" s="34" t="s">
        <v>27</v>
      </c>
      <c r="I16" s="18">
        <f>B17</f>
        <v>1.2941176470588236</v>
      </c>
      <c r="J16" s="18">
        <v>0</v>
      </c>
      <c r="K16" s="27" t="e">
        <f t="shared" si="3"/>
        <v>#DIV/0!</v>
      </c>
      <c r="L16" s="19"/>
      <c r="N16" s="2"/>
      <c r="O16" s="2"/>
    </row>
    <row r="17" spans="1:16" x14ac:dyDescent="0.35">
      <c r="A17" s="4" t="s">
        <v>31</v>
      </c>
      <c r="B17" s="2">
        <f>B9/B10</f>
        <v>1.2941176470588236</v>
      </c>
      <c r="H17" s="35" t="s">
        <v>28</v>
      </c>
      <c r="I17" s="21">
        <f>B19</f>
        <v>108.47778488360673</v>
      </c>
      <c r="J17" s="21">
        <v>0</v>
      </c>
      <c r="K17" s="28" t="e">
        <f>I17/J17-1</f>
        <v>#DIV/0!</v>
      </c>
      <c r="L17" s="22"/>
      <c r="N17" s="2"/>
      <c r="O17" s="2"/>
    </row>
    <row r="18" spans="1:16" x14ac:dyDescent="0.35">
      <c r="A18" s="4" t="s">
        <v>23</v>
      </c>
      <c r="B18" s="2">
        <f>(1.49/B7)*B16^(2/3)*SQRT(B8)</f>
        <v>4.9308084038003059</v>
      </c>
      <c r="N18" s="2"/>
    </row>
    <row r="19" spans="1:16" x14ac:dyDescent="0.35">
      <c r="A19" s="4" t="s">
        <v>22</v>
      </c>
      <c r="B19" s="2">
        <f>B9*B18</f>
        <v>108.47778488360673</v>
      </c>
      <c r="N19" s="2"/>
      <c r="P19" s="10"/>
    </row>
    <row r="20" spans="1:16" x14ac:dyDescent="0.35">
      <c r="A20" s="4" t="s">
        <v>39</v>
      </c>
      <c r="B20" s="2">
        <f>62.4271*B3*B8</f>
        <v>1.248542</v>
      </c>
      <c r="M20" s="1"/>
      <c r="N20" s="9"/>
    </row>
    <row r="21" spans="1:16" ht="15" thickBot="1" x14ac:dyDescent="0.4">
      <c r="A21" s="31" t="s">
        <v>34</v>
      </c>
      <c r="B21" s="32" t="str">
        <f>INDEX(Particle_Entrainment!A2:A20, MATCH(B20,Particle_Entrainment!B2:B20,-1)+1)</f>
        <v>Small Cobble</v>
      </c>
      <c r="E21" s="2"/>
    </row>
    <row r="22" spans="1:16" x14ac:dyDescent="0.35">
      <c r="E22" s="2"/>
      <c r="G22" s="12"/>
      <c r="H22" s="12"/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Particle_Entrainment</vt:lpstr>
      <vt:lpstr>XS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2019-05-15T18:18:44Z</dcterms:modified>
</cp:coreProperties>
</file>