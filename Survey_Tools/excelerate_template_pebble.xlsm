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X:\Environmental_Tools\Survey_Tools\"/>
    </mc:Choice>
  </mc:AlternateContent>
  <bookViews>
    <workbookView xWindow="0" yWindow="260" windowWidth="15360" windowHeight="8720" tabRatio="604"/>
  </bookViews>
  <sheets>
    <sheet name="CountA" sheetId="32659" r:id="rId1"/>
  </sheets>
  <definedNames>
    <definedName name="allTotal" localSheetId="0">CountA!$AF$31</definedName>
    <definedName name="cumFrac" localSheetId="0">CountA!$AH$3:$AH$25</definedName>
    <definedName name="currentYear" localSheetId="0">CountA!$H$44:$H$73</definedName>
    <definedName name="frac" localSheetId="0">CountA!$AG$3:$AG$25</definedName>
    <definedName name="partCount" localSheetId="0">CountA!$AF$3:$AF$25</definedName>
    <definedName name="particleTotal" localSheetId="0">CountA!$AF$30</definedName>
    <definedName name="_xlnm.Print_Area" localSheetId="0">CountA!$A$1:$AH$41</definedName>
    <definedName name="upperBound" localSheetId="0">CountA!$AE$3:$AE$25</definedName>
  </definedNames>
  <calcPr calcId="152511"/>
</workbook>
</file>

<file path=xl/calcChain.xml><?xml version="1.0" encoding="utf-8"?>
<calcChain xmlns="http://schemas.openxmlformats.org/spreadsheetml/2006/main">
  <c r="J73" i="32659" l="1"/>
  <c r="K73" i="32659"/>
  <c r="L73" i="32659"/>
  <c r="M73" i="32659"/>
  <c r="N73" i="32659"/>
  <c r="O73" i="32659"/>
  <c r="B49" i="32659" l="1"/>
  <c r="U44" i="32659" s="1"/>
  <c r="D4" i="32659" l="1"/>
  <c r="AF4" i="32659" s="1"/>
  <c r="D5" i="32659"/>
  <c r="AF5" i="32659" s="1"/>
  <c r="D6" i="32659"/>
  <c r="AF6" i="32659" s="1"/>
  <c r="D7" i="32659"/>
  <c r="AF7" i="32659" s="1"/>
  <c r="D8" i="32659"/>
  <c r="AF8" i="32659" s="1"/>
  <c r="D9" i="32659"/>
  <c r="AF9" i="32659" s="1"/>
  <c r="D10" i="32659"/>
  <c r="AF10" i="32659" s="1"/>
  <c r="D11" i="32659"/>
  <c r="AF11" i="32659" s="1"/>
  <c r="D12" i="32659"/>
  <c r="AF12" i="32659" s="1"/>
  <c r="D13" i="32659"/>
  <c r="AF13" i="32659" s="1"/>
  <c r="D14" i="32659"/>
  <c r="AF14" i="32659" s="1"/>
  <c r="D15" i="32659"/>
  <c r="AF15" i="32659" s="1"/>
  <c r="D16" i="32659"/>
  <c r="AF16" i="32659" s="1"/>
  <c r="D17" i="32659"/>
  <c r="AF17" i="32659" s="1"/>
  <c r="D18" i="32659"/>
  <c r="AF18" i="32659" s="1"/>
  <c r="D19" i="32659"/>
  <c r="AF19" i="32659" s="1"/>
  <c r="D20" i="32659"/>
  <c r="AF20" i="32659" s="1"/>
  <c r="D21" i="32659"/>
  <c r="AF21" i="32659" s="1"/>
  <c r="D22" i="32659"/>
  <c r="AF22" i="32659" s="1"/>
  <c r="D23" i="32659"/>
  <c r="AF23" i="32659" s="1"/>
  <c r="D24" i="32659"/>
  <c r="AF24" i="32659" s="1"/>
  <c r="D25" i="32659"/>
  <c r="AF25" i="32659" s="1"/>
  <c r="D27" i="32659"/>
  <c r="AF26" i="32659" s="1"/>
  <c r="D28" i="32659"/>
  <c r="AF27" i="32659" s="1"/>
  <c r="D29" i="32659"/>
  <c r="AF28" i="32659" s="1"/>
  <c r="D30" i="32659"/>
  <c r="AF29" i="32659" s="1"/>
  <c r="D3" i="32659"/>
  <c r="AF3" i="32659" s="1"/>
  <c r="I68" i="32659"/>
  <c r="I73" i="32659" s="1"/>
  <c r="J68" i="32659"/>
  <c r="K68" i="32659"/>
  <c r="L68" i="32659"/>
  <c r="M68" i="32659"/>
  <c r="N68" i="32659"/>
  <c r="O68" i="32659"/>
  <c r="H68" i="32659"/>
  <c r="D26" i="32659" s="1"/>
  <c r="AF30" i="32659" s="1"/>
  <c r="AD5" i="32659"/>
  <c r="AD6" i="32659"/>
  <c r="AD7" i="32659"/>
  <c r="AD8" i="32659"/>
  <c r="AD9" i="32659"/>
  <c r="AD10" i="32659"/>
  <c r="AD11" i="32659"/>
  <c r="AD12" i="32659"/>
  <c r="AD13" i="32659"/>
  <c r="AD14" i="32659"/>
  <c r="AD15" i="32659"/>
  <c r="AD16" i="32659"/>
  <c r="AD17" i="32659"/>
  <c r="AD18" i="32659"/>
  <c r="AD19" i="32659"/>
  <c r="AD20" i="32659"/>
  <c r="AD21" i="32659"/>
  <c r="AD22" i="32659"/>
  <c r="AD23" i="32659"/>
  <c r="AD24" i="32659"/>
  <c r="AD25" i="32659"/>
  <c r="AD4" i="32659"/>
  <c r="AK20" i="32659" l="1"/>
  <c r="AK24" i="32659"/>
  <c r="AK16" i="32659"/>
  <c r="AK12" i="32659"/>
  <c r="AK4" i="32659"/>
  <c r="AK8" i="32659"/>
  <c r="AK5" i="32659"/>
  <c r="AK23" i="32659"/>
  <c r="AK19" i="32659"/>
  <c r="AK11" i="32659"/>
  <c r="AK7" i="32659"/>
  <c r="AK15" i="32659"/>
  <c r="AK18" i="32659"/>
  <c r="AK6" i="32659"/>
  <c r="AK3" i="32659"/>
  <c r="AL3" i="32659" s="1"/>
  <c r="AK22" i="32659"/>
  <c r="AK14" i="32659"/>
  <c r="AK10" i="32659"/>
  <c r="AK21" i="32659"/>
  <c r="AK25" i="32659"/>
  <c r="AK17" i="32659"/>
  <c r="AK13" i="32659"/>
  <c r="AK9" i="32659"/>
  <c r="H73" i="32659"/>
  <c r="D31" i="32659" s="1"/>
  <c r="AF31" i="32659" s="1"/>
  <c r="AG29" i="32659" s="1"/>
  <c r="AJ29" i="32659" s="1"/>
  <c r="Q38" i="32659" s="1"/>
  <c r="AL4" i="32659" l="1"/>
  <c r="AL5" i="32659" s="1"/>
  <c r="AL6" i="32659" s="1"/>
  <c r="AL7" i="32659" s="1"/>
  <c r="AL8" i="32659" s="1"/>
  <c r="AL9" i="32659" s="1"/>
  <c r="AL10" i="32659" s="1"/>
  <c r="AL11" i="32659" s="1"/>
  <c r="AL12" i="32659" s="1"/>
  <c r="AL13" i="32659" s="1"/>
  <c r="AL14" i="32659" s="1"/>
  <c r="AG25" i="32659"/>
  <c r="AG8" i="32659"/>
  <c r="AG14" i="32659"/>
  <c r="AG12" i="32659"/>
  <c r="AG21" i="32659"/>
  <c r="AG3" i="32659"/>
  <c r="AG24" i="32659"/>
  <c r="AG9" i="32659"/>
  <c r="AG6" i="32659"/>
  <c r="AG20" i="32659"/>
  <c r="AG10" i="32659"/>
  <c r="AG11" i="32659"/>
  <c r="AG28" i="32659"/>
  <c r="AJ28" i="32659" s="1"/>
  <c r="Q37" i="32659" s="1"/>
  <c r="AG7" i="32659"/>
  <c r="AG13" i="32659"/>
  <c r="AG16" i="32659"/>
  <c r="AG15" i="32659"/>
  <c r="AG18" i="32659"/>
  <c r="AG23" i="32659"/>
  <c r="AG5" i="32659"/>
  <c r="AG27" i="32659"/>
  <c r="AJ27" i="32659" s="1"/>
  <c r="Q36" i="32659" s="1"/>
  <c r="AG17" i="32659"/>
  <c r="AG26" i="32659"/>
  <c r="AJ26" i="32659" s="1"/>
  <c r="Q35" i="32659" s="1"/>
  <c r="AG19" i="32659"/>
  <c r="AG22" i="32659"/>
  <c r="AG4" i="32659"/>
  <c r="AL15" i="32659" l="1"/>
  <c r="AL16" i="32659" s="1"/>
  <c r="AL17" i="32659" s="1"/>
  <c r="AL18" i="32659" s="1"/>
  <c r="AL19" i="32659" s="1"/>
  <c r="AL20" i="32659" s="1"/>
  <c r="AL21" i="32659" s="1"/>
  <c r="AL22" i="32659" s="1"/>
  <c r="AL23" i="32659" s="1"/>
  <c r="AL24" i="32659" s="1"/>
  <c r="AL25" i="32659" s="1"/>
  <c r="AJ17" i="32659"/>
  <c r="N37" i="32659" s="1"/>
  <c r="AJ8" i="32659"/>
  <c r="N36" i="32659" s="1"/>
  <c r="AJ21" i="32659"/>
  <c r="N38" i="32659" s="1"/>
  <c r="AH3" i="32659"/>
  <c r="AH4" i="32659" s="1"/>
  <c r="AH5" i="32659" s="1"/>
  <c r="AH6" i="32659" s="1"/>
  <c r="AH7" i="32659" s="1"/>
  <c r="AH8" i="32659" s="1"/>
  <c r="AH9" i="32659" s="1"/>
  <c r="AH10" i="32659" s="1"/>
  <c r="AH11" i="32659" s="1"/>
  <c r="AH12" i="32659" s="1"/>
  <c r="AH13" i="32659" s="1"/>
  <c r="AH14" i="32659" s="1"/>
  <c r="AH15" i="32659" s="1"/>
  <c r="AH16" i="32659" s="1"/>
  <c r="AH17" i="32659" s="1"/>
  <c r="AH18" i="32659" s="1"/>
  <c r="AH19" i="32659" s="1"/>
  <c r="AH20" i="32659" s="1"/>
  <c r="AH21" i="32659" s="1"/>
  <c r="AH22" i="32659" s="1"/>
  <c r="AH23" i="32659" s="1"/>
  <c r="AH24" i="32659" s="1"/>
  <c r="AH25" i="32659" s="1"/>
  <c r="AH26" i="32659" s="1"/>
  <c r="AH27" i="32659" s="1"/>
  <c r="AH28" i="32659" s="1"/>
  <c r="AH29" i="32659" s="1"/>
  <c r="AJ3" i="32659"/>
  <c r="N35" i="32659" s="1"/>
  <c r="AJ25" i="32659"/>
  <c r="N39" i="32659" s="1"/>
  <c r="AG30" i="32659"/>
  <c r="AG31" i="32659" s="1"/>
  <c r="AS8" i="32659" l="1"/>
  <c r="H35" i="32659" s="1"/>
  <c r="AS9" i="32659"/>
  <c r="H36" i="32659" s="1"/>
  <c r="AS11" i="32659"/>
  <c r="H38" i="32659" s="1"/>
  <c r="AS13" i="32659"/>
  <c r="H40" i="32659" s="1"/>
  <c r="AS10" i="32659"/>
  <c r="H37" i="32659" s="1"/>
  <c r="AS12" i="32659"/>
  <c r="H39" i="32659" s="1"/>
  <c r="K35" i="32659" l="1"/>
  <c r="K36" i="32659"/>
  <c r="K37" i="32659" l="1"/>
</calcChain>
</file>

<file path=xl/comments1.xml><?xml version="1.0" encoding="utf-8"?>
<comments xmlns="http://schemas.openxmlformats.org/spreadsheetml/2006/main">
  <authors>
    <author>Sky Jones</author>
  </authors>
  <commentList>
    <comment ref="G34" authorId="0" shapeId="0">
      <text>
        <r>
          <rPr>
            <b/>
            <sz val="9"/>
            <color indexed="81"/>
            <rFont val="Tahoma"/>
            <family val="2"/>
          </rPr>
          <t>Orange formatting indicates a maximum bounding condition</t>
        </r>
      </text>
    </comment>
    <comment ref="J35" authorId="0" shapeId="0">
      <text>
        <r>
          <rPr>
            <b/>
            <sz val="9"/>
            <color indexed="81"/>
            <rFont val="Tahoma"/>
            <family val="2"/>
          </rPr>
          <t xml:space="preserve">
The geometric mean 
Dg = (d16*d84)^.5
 (Kondolf, 2003)</t>
        </r>
      </text>
    </comment>
    <comment ref="J36" authorId="0" shapeId="0">
      <text>
        <r>
          <rPr>
            <b/>
            <sz val="9"/>
            <color indexed="81"/>
            <rFont val="Tahoma"/>
            <family val="2"/>
          </rPr>
          <t xml:space="preserve">
Geometric sorting coefficient  
sg = (d84/d16)^0.5
                             (Kondolf, 2003)
Sorting referees to the degree of concentration or dispersion of size among particles.  A value of 1 is uniform size (no dispersion).  Values increase as dispersion increases.
Another similar discriptor (not calculated) is the gradation coefficient
G = 1/2(d84/d50 + d50/d16)
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 xml:space="preserve">
Geometric skewness coefficient  
sk = log(geometric mean/D50)/log(geometric sorting coefficent)
It refers to the degree the distribution is skewed from a lognormal distribution.
 (Kondolf, 2003)
</t>
        </r>
      </text>
    </comment>
  </commentList>
</comments>
</file>

<file path=xl/sharedStrings.xml><?xml version="1.0" encoding="utf-8"?>
<sst xmlns="http://schemas.openxmlformats.org/spreadsheetml/2006/main" count="298" uniqueCount="117">
  <si>
    <t>Count</t>
  </si>
  <si>
    <t>silt/clay</t>
  </si>
  <si>
    <t>D16</t>
  </si>
  <si>
    <t>D35</t>
  </si>
  <si>
    <t>D50</t>
  </si>
  <si>
    <t>D65</t>
  </si>
  <si>
    <t>D84</t>
  </si>
  <si>
    <t>D95</t>
  </si>
  <si>
    <t>mean</t>
  </si>
  <si>
    <t>sand</t>
  </si>
  <si>
    <t>gravel</t>
  </si>
  <si>
    <t>cobble</t>
  </si>
  <si>
    <t>boulder</t>
  </si>
  <si>
    <t>a</t>
  </si>
  <si>
    <t>c</t>
  </si>
  <si>
    <t>P</t>
  </si>
  <si>
    <t>R</t>
  </si>
  <si>
    <t>Size Distribution</t>
  </si>
  <si>
    <t>Type</t>
  </si>
  <si>
    <t>Size (mm)</t>
  </si>
  <si>
    <t>.</t>
  </si>
  <si>
    <t>dispersion</t>
  </si>
  <si>
    <t>skewness</t>
  </si>
  <si>
    <t>Particle</t>
  </si>
  <si>
    <t>Silt/Clay</t>
  </si>
  <si>
    <t>Very Fine</t>
  </si>
  <si>
    <t>Fine</t>
  </si>
  <si>
    <t>Medium</t>
  </si>
  <si>
    <t>Coarse</t>
  </si>
  <si>
    <t>Very Coarse</t>
  </si>
  <si>
    <t>Small</t>
  </si>
  <si>
    <t>Large</t>
  </si>
  <si>
    <t>Lrg−Very Lrg</t>
  </si>
  <si>
    <t>Bedrock</t>
  </si>
  <si>
    <t>&lt; 0.062</t>
  </si>
  <si>
    <t>.062 − .125</t>
  </si>
  <si>
    <t>.125 − .25</t>
  </si>
  <si>
    <t>.25 − .50</t>
  </si>
  <si>
    <t>.50 − 1</t>
  </si>
  <si>
    <t>1 − 2</t>
  </si>
  <si>
    <t>2 − 4</t>
  </si>
  <si>
    <t>4 − 5.7</t>
  </si>
  <si>
    <t>5.7 − 8</t>
  </si>
  <si>
    <t>8 − 11.3</t>
  </si>
  <si>
    <t>11.3 − 16</t>
  </si>
  <si>
    <t>16 − 22.6</t>
  </si>
  <si>
    <t>22.6 − 32</t>
  </si>
  <si>
    <t>32 − 45</t>
  </si>
  <si>
    <t>45 − 64</t>
  </si>
  <si>
    <t>64 − 90</t>
  </si>
  <si>
    <t>90 − 128</t>
  </si>
  <si>
    <t>128 − 180</t>
  </si>
  <si>
    <t>180 − 256</t>
  </si>
  <si>
    <t>256 − 362</t>
  </si>
  <si>
    <t>362 − 512</t>
  </si>
  <si>
    <t>512 − 1024</t>
  </si>
  <si>
    <t>1024 − 2048</t>
  </si>
  <si>
    <t>S/C</t>
  </si>
  <si>
    <t>S</t>
  </si>
  <si>
    <t>A</t>
  </si>
  <si>
    <t>N</t>
  </si>
  <si>
    <t>D</t>
  </si>
  <si>
    <t>G</t>
  </si>
  <si>
    <t>V</t>
  </si>
  <si>
    <t>E</t>
  </si>
  <si>
    <t>L</t>
  </si>
  <si>
    <t>C</t>
  </si>
  <si>
    <t>O</t>
  </si>
  <si>
    <t>B</t>
  </si>
  <si>
    <t>Total</t>
  </si>
  <si>
    <t>Upper Bound</t>
  </si>
  <si>
    <t>Lower Bound</t>
  </si>
  <si>
    <t>Fraction</t>
  </si>
  <si>
    <t>Cumulative Fraction</t>
  </si>
  <si>
    <t/>
  </si>
  <si>
    <t>MYR1</t>
  </si>
  <si>
    <t>MYR2</t>
  </si>
  <si>
    <t>MYR3</t>
  </si>
  <si>
    <t>MYR4</t>
  </si>
  <si>
    <t>MYR5</t>
  </si>
  <si>
    <t>MYR6</t>
  </si>
  <si>
    <t>MYR7</t>
  </si>
  <si>
    <t>As-Built</t>
  </si>
  <si>
    <t>Clay Hardpan</t>
  </si>
  <si>
    <t>Detritus/Wood</t>
  </si>
  <si>
    <t>Artificial</t>
  </si>
  <si>
    <t>Particle Total</t>
  </si>
  <si>
    <t>e</t>
  </si>
  <si>
    <t>t</t>
  </si>
  <si>
    <t>p</t>
  </si>
  <si>
    <t>r</t>
  </si>
  <si>
    <t>i</t>
  </si>
  <si>
    <t>l</t>
  </si>
  <si>
    <t>s</t>
  </si>
  <si>
    <t>Name</t>
  </si>
  <si>
    <t>Title:</t>
  </si>
  <si>
    <t>% sand</t>
  </si>
  <si>
    <t>% mud</t>
  </si>
  <si>
    <t>% gravel</t>
  </si>
  <si>
    <t>% cobble</t>
  </si>
  <si>
    <t>% boulder</t>
  </si>
  <si>
    <t>% bedrock</t>
  </si>
  <si>
    <t>% artificial</t>
  </si>
  <si>
    <t>% hardpan</t>
  </si>
  <si>
    <t>% detritus</t>
  </si>
  <si>
    <t>dX</t>
  </si>
  <si>
    <t>S+</t>
  </si>
  <si>
    <t>S-</t>
  </si>
  <si>
    <t>P+</t>
  </si>
  <si>
    <t>P-</t>
  </si>
  <si>
    <t>Cum Frac (Part. Only)</t>
  </si>
  <si>
    <t>Frac (Part. Only)</t>
  </si>
  <si>
    <t>Year</t>
  </si>
  <si>
    <t>Click on a colored box and hit "Set Year" to display that year's data</t>
  </si>
  <si>
    <t>Profile/XS</t>
  </si>
  <si>
    <t>Reach/XS NAME</t>
  </si>
  <si>
    <t>Cross Section or Profile?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</si>
</sst>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 tint="-0.249977111117893"/>
      <name val="Calibri"/>
      <family val="2"/>
      <scheme val="minor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0" xfId="1" applyFont="1" applyAlignment="1">
      <alignment horizontal="center"/>
    </xf>
    <xf numFmtId="9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2" fillId="0" borderId="1" xfId="1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9" fontId="2" fillId="2" borderId="6" xfId="0" applyNumberFormat="1" applyFont="1" applyFill="1" applyBorder="1" applyAlignment="1">
      <alignment horizontal="center"/>
    </xf>
    <xf numFmtId="9" fontId="2" fillId="2" borderId="4" xfId="0" applyNumberFormat="1" applyFont="1" applyFill="1" applyBorder="1" applyAlignment="1">
      <alignment horizontal="center"/>
    </xf>
    <xf numFmtId="2" fontId="2" fillId="2" borderId="6" xfId="0" applyNumberFormat="1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" fillId="15" borderId="6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5" fillId="11" borderId="6" xfId="0" applyFont="1" applyFill="1" applyBorder="1" applyAlignment="1">
      <alignment horizontal="center"/>
    </xf>
    <xf numFmtId="0" fontId="5" fillId="16" borderId="6" xfId="0" applyFont="1" applyFill="1" applyBorder="1" applyAlignment="1">
      <alignment horizontal="center"/>
    </xf>
    <xf numFmtId="0" fontId="3" fillId="9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2" fillId="18" borderId="0" xfId="0" applyFont="1" applyFill="1" applyAlignment="1">
      <alignment horizontal="center"/>
    </xf>
    <xf numFmtId="0" fontId="2" fillId="18" borderId="17" xfId="0" applyFont="1" applyFill="1" applyBorder="1" applyAlignment="1">
      <alignment horizontal="center"/>
    </xf>
    <xf numFmtId="0" fontId="3" fillId="18" borderId="0" xfId="0" applyFont="1" applyFill="1" applyAlignment="1">
      <alignment horizontal="center"/>
    </xf>
    <xf numFmtId="0" fontId="3" fillId="18" borderId="17" xfId="0" applyFont="1" applyFill="1" applyBorder="1" applyAlignment="1">
      <alignment horizontal="center"/>
    </xf>
    <xf numFmtId="0" fontId="2" fillId="18" borderId="0" xfId="0" applyFont="1" applyFill="1" applyBorder="1" applyAlignment="1">
      <alignment horizontal="center"/>
    </xf>
    <xf numFmtId="0" fontId="3" fillId="18" borderId="1" xfId="0" applyFont="1" applyFill="1" applyBorder="1" applyAlignment="1">
      <alignment horizontal="center"/>
    </xf>
    <xf numFmtId="0" fontId="3" fillId="18" borderId="10" xfId="0" applyFont="1" applyFill="1" applyBorder="1" applyAlignment="1">
      <alignment horizontal="center"/>
    </xf>
    <xf numFmtId="0" fontId="2" fillId="18" borderId="3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282AA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D3DFEB"/>
      <rgbColor rgb="00FF99CC"/>
      <rgbColor rgb="00EEEEEE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DDDDD"/>
      <rgbColor rgb="005A5A86"/>
      <rgbColor rgb="00333333"/>
    </indexed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CountA!$U$44</c:f>
          <c:strCache>
            <c:ptCount val="1"/>
            <c:pt idx="0">
              <c:v>Profile/XS Pebble Count, Reach/XS NAME, As-Built</c:v>
            </c:pt>
          </c:strCache>
        </c:strRef>
      </c:tx>
      <c:layout>
        <c:manualLayout>
          <c:xMode val="edge"/>
          <c:yMode val="edge"/>
          <c:x val="4.6110871587737412E-2"/>
          <c:y val="1.0571046483882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92312288690048"/>
          <c:y val="0.20930877169739739"/>
          <c:w val="0.76947613513494018"/>
          <c:h val="0.62792631509219221"/>
        </c:manualLayout>
      </c:layout>
      <c:scatterChart>
        <c:scatterStyle val="lineMarker"/>
        <c:varyColors val="0"/>
        <c:ser>
          <c:idx val="1"/>
          <c:order val="0"/>
          <c:tx>
            <c:v>cumulative %</c:v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CountA!$AE$3:$AE$25</c:f>
              <c:numCache>
                <c:formatCode>General</c:formatCode>
                <c:ptCount val="23"/>
                <c:pt idx="0">
                  <c:v>6.2E-2</c:v>
                </c:pt>
                <c:pt idx="1">
                  <c:v>0.125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4.7</c:v>
                </c:pt>
                <c:pt idx="8">
                  <c:v>8</c:v>
                </c:pt>
                <c:pt idx="9">
                  <c:v>11.3</c:v>
                </c:pt>
                <c:pt idx="10">
                  <c:v>16</c:v>
                </c:pt>
                <c:pt idx="11">
                  <c:v>22.6</c:v>
                </c:pt>
                <c:pt idx="12">
                  <c:v>32</c:v>
                </c:pt>
                <c:pt idx="13">
                  <c:v>45</c:v>
                </c:pt>
                <c:pt idx="14">
                  <c:v>64</c:v>
                </c:pt>
                <c:pt idx="15">
                  <c:v>90</c:v>
                </c:pt>
                <c:pt idx="16">
                  <c:v>128</c:v>
                </c:pt>
                <c:pt idx="17">
                  <c:v>180</c:v>
                </c:pt>
                <c:pt idx="18">
                  <c:v>256</c:v>
                </c:pt>
                <c:pt idx="19">
                  <c:v>362</c:v>
                </c:pt>
                <c:pt idx="20">
                  <c:v>512</c:v>
                </c:pt>
                <c:pt idx="21">
                  <c:v>1024</c:v>
                </c:pt>
                <c:pt idx="22">
                  <c:v>2048</c:v>
                </c:pt>
              </c:numCache>
            </c:numRef>
          </c:xVal>
          <c:yVal>
            <c:numRef>
              <c:f>CountA!$AH$3:$AH$25</c:f>
              <c:numCache>
                <c:formatCode>0%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silt/clay-sand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</c:dPt>
          <c:xVal>
            <c:numLit>
              <c:formatCode>General</c:formatCode>
              <c:ptCount val="2"/>
              <c:pt idx="0">
                <c:v>6.2E-2</c:v>
              </c:pt>
              <c:pt idx="1">
                <c:v>6.2E-2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</c:ser>
        <c:ser>
          <c:idx val="3"/>
          <c:order val="3"/>
          <c:tx>
            <c:v>sand-gravel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</c:dPt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</c:ser>
        <c:ser>
          <c:idx val="4"/>
          <c:order val="4"/>
          <c:tx>
            <c:v>gravel-cobble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</c:dPt>
          <c:xVal>
            <c:numLit>
              <c:formatCode>General</c:formatCode>
              <c:ptCount val="2"/>
              <c:pt idx="0">
                <c:v>64</c:v>
              </c:pt>
              <c:pt idx="1">
                <c:v>64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</c:ser>
        <c:ser>
          <c:idx val="5"/>
          <c:order val="5"/>
          <c:tx>
            <c:v>cobble-boulder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plus"/>
              <c:size val="10"/>
              <c:spPr>
                <a:noFill/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</c:dPt>
          <c:xVal>
            <c:numLit>
              <c:formatCode>General</c:formatCode>
              <c:ptCount val="2"/>
              <c:pt idx="0">
                <c:v>256</c:v>
              </c:pt>
              <c:pt idx="1">
                <c:v>256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</c:ser>
        <c:ser>
          <c:idx val="6"/>
          <c:order val="6"/>
          <c:tx>
            <c:v>d50 vert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7"/>
          <c:order val="7"/>
          <c:tx>
            <c:v>d50 horiz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8"/>
          <c:order val="8"/>
          <c:tx>
            <c:v>d84 vert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9"/>
          <c:order val="9"/>
          <c:tx>
            <c:v>d84 horiz</c:v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0"/>
          <c:order val="10"/>
          <c:tx>
            <c:v>silt/clay</c:v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silt/clay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2.5000000000000001E-2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1"/>
          <c:order val="11"/>
          <c:tx>
            <c:v>sand</c:v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sand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0.35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2"/>
          <c:order val="12"/>
          <c:tx>
            <c:v>gravel</c:v>
          </c:tx>
          <c:spPr>
            <a:ln w="12700">
              <a:solidFill>
                <a:srgbClr val="D3DFEB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gravel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11.3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3"/>
          <c:order val="13"/>
          <c:tx>
            <c:v>cobble</c:v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cobble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128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4"/>
          <c:order val="14"/>
          <c:tx>
            <c:v>boulder</c:v>
          </c:tx>
          <c:spPr>
            <a:ln w="12700">
              <a:solidFill>
                <a:srgbClr val="EEEEEE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boulder
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1600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ser>
          <c:idx val="15"/>
          <c:order val="15"/>
          <c:tx>
            <c:v># of particles</c:v>
          </c:tx>
          <c:spPr>
            <a:ln w="254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239112"/>
        <c:axId val="432238328"/>
      </c:scatterChart>
      <c:scatterChart>
        <c:scatterStyle val="lineMarker"/>
        <c:varyColors val="0"/>
        <c:ser>
          <c:idx val="0"/>
          <c:order val="1"/>
          <c:tx>
            <c:v># of particles</c:v>
          </c:tx>
          <c:spPr>
            <a:ln w="19050">
              <a:noFill/>
            </a:ln>
          </c:spPr>
          <c:marker>
            <c:symbol val="square"/>
            <c:size val="2"/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ln w="38100">
                <a:solidFill>
                  <a:srgbClr val="008080"/>
                </a:solidFill>
                <a:prstDash val="solid"/>
              </a:ln>
            </c:spPr>
          </c:errBars>
          <c:xVal>
            <c:numRef>
              <c:f>CountA!$AE$3:$AE$25</c:f>
              <c:numCache>
                <c:formatCode>General</c:formatCode>
                <c:ptCount val="23"/>
                <c:pt idx="0">
                  <c:v>6.2E-2</c:v>
                </c:pt>
                <c:pt idx="1">
                  <c:v>0.125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4.7</c:v>
                </c:pt>
                <c:pt idx="8">
                  <c:v>8</c:v>
                </c:pt>
                <c:pt idx="9">
                  <c:v>11.3</c:v>
                </c:pt>
                <c:pt idx="10">
                  <c:v>16</c:v>
                </c:pt>
                <c:pt idx="11">
                  <c:v>22.6</c:v>
                </c:pt>
                <c:pt idx="12">
                  <c:v>32</c:v>
                </c:pt>
                <c:pt idx="13">
                  <c:v>45</c:v>
                </c:pt>
                <c:pt idx="14">
                  <c:v>64</c:v>
                </c:pt>
                <c:pt idx="15">
                  <c:v>90</c:v>
                </c:pt>
                <c:pt idx="16">
                  <c:v>128</c:v>
                </c:pt>
                <c:pt idx="17">
                  <c:v>180</c:v>
                </c:pt>
                <c:pt idx="18">
                  <c:v>256</c:v>
                </c:pt>
                <c:pt idx="19">
                  <c:v>362</c:v>
                </c:pt>
                <c:pt idx="20">
                  <c:v>512</c:v>
                </c:pt>
                <c:pt idx="21">
                  <c:v>1024</c:v>
                </c:pt>
                <c:pt idx="22">
                  <c:v>2048</c:v>
                </c:pt>
              </c:numCache>
            </c:numRef>
          </c:xVal>
          <c:yVal>
            <c:numRef>
              <c:f>CountA!$AF$3:$AF$25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241072"/>
        <c:axId val="432241464"/>
      </c:scatterChart>
      <c:valAx>
        <c:axId val="432239112"/>
        <c:scaling>
          <c:logBase val="10"/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 size (mm)</a:t>
                </a:r>
              </a:p>
            </c:rich>
          </c:tx>
          <c:layout>
            <c:manualLayout>
              <c:xMode val="edge"/>
              <c:yMode val="edge"/>
              <c:x val="0.43084904732729734"/>
              <c:y val="0.902776159322579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238328"/>
        <c:crosses val="autoZero"/>
        <c:crossBetween val="midCat"/>
      </c:valAx>
      <c:valAx>
        <c:axId val="43223832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than</a:t>
                </a:r>
              </a:p>
            </c:rich>
          </c:tx>
          <c:layout>
            <c:manualLayout>
              <c:xMode val="edge"/>
              <c:yMode val="edge"/>
              <c:x val="1.0086757887252567E-2"/>
              <c:y val="0.3699901782890246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239112"/>
        <c:crossesAt val="0.01"/>
        <c:crossBetween val="midCat"/>
        <c:minorUnit val="0.05"/>
      </c:valAx>
      <c:valAx>
        <c:axId val="432241072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2241464"/>
        <c:crosses val="autoZero"/>
        <c:crossBetween val="midCat"/>
      </c:valAx>
      <c:valAx>
        <c:axId val="432241464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particles</a:t>
                </a:r>
              </a:p>
            </c:rich>
          </c:tx>
          <c:layout>
            <c:manualLayout>
              <c:xMode val="edge"/>
              <c:yMode val="edge"/>
              <c:x val="0.95247891563986786"/>
              <c:y val="0.40170376165981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241072"/>
        <c:crosses val="max"/>
        <c:crossBetween val="midCat"/>
      </c:valAx>
      <c:spPr>
        <a:solidFill>
          <a:srgbClr val="EEEEEE"/>
        </a:solidFill>
        <a:ln w="12700">
          <a:solidFill>
            <a:srgbClr val="000000"/>
          </a:solidFill>
          <a:prstDash val="solid"/>
        </a:ln>
      </c:spPr>
    </c:plotArea>
    <c:legend>
      <c:legendPos val="t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66284463001202665"/>
          <c:y val="6.9769661456165769E-2"/>
          <c:w val="0.33142223936705317"/>
          <c:h val="5.074151143369236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solidFill>
        <a:schemeClr val="tx2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749753</xdr:colOff>
      <xdr:row>2</xdr:row>
      <xdr:rowOff>18143</xdr:rowOff>
    </xdr:from>
    <xdr:to>
      <xdr:col>18</xdr:col>
      <xdr:colOff>99785</xdr:colOff>
      <xdr:row>31</xdr:row>
      <xdr:rowOff>18142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120650</xdr:colOff>
          <xdr:row>42</xdr:row>
          <xdr:rowOff>63500</xdr:rowOff>
        </xdr:from>
        <xdr:to>
          <xdr:col>17</xdr:col>
          <xdr:colOff>482600</xdr:colOff>
          <xdr:row>44</xdr:row>
          <xdr:rowOff>120650</xdr:rowOff>
        </xdr:to>
        <xdr:sp macro="" textlink="">
          <xdr:nvSpPr>
            <xdr:cNvPr id="263173" name="Button 5" hidden="1">
              <a:extLst>
                <a:ext uri="{63B3BB69-23CF-44E3-9099-C40C66FF867C}">
                  <a14:compatExt spid="_x0000_s26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Year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73"/>
  <sheetViews>
    <sheetView tabSelected="1" topLeftCell="A19" zoomScale="70" zoomScaleNormal="70" zoomScaleSheetLayoutView="90" workbookViewId="0">
      <selection activeCell="L54" sqref="L54"/>
    </sheetView>
  </sheetViews>
  <sheetFormatPr defaultRowHeight="13" x14ac:dyDescent="0.3"/>
  <cols>
    <col min="1" max="1" width="12.08984375" style="1" customWidth="1"/>
    <col min="2" max="2" width="20.54296875" style="1" customWidth="1"/>
    <col min="3" max="3" width="14.08984375" style="1" customWidth="1"/>
    <col min="4" max="4" width="8.7265625" style="1"/>
    <col min="5" max="5" width="12.26953125" style="1" customWidth="1"/>
    <col min="6" max="6" width="8.7265625" style="1"/>
    <col min="7" max="7" width="10.90625" style="1" customWidth="1"/>
    <col min="8" max="8" width="9.453125" style="1" bestFit="1" customWidth="1"/>
    <col min="9" max="15" width="8.7265625" style="1"/>
    <col min="16" max="16" width="12.36328125" style="1" customWidth="1"/>
    <col min="17" max="18" width="8.7265625" style="1"/>
    <col min="19" max="19" width="8.7265625" style="23"/>
    <col min="20" max="20" width="8.7265625" style="1"/>
    <col min="21" max="21" width="33.90625" style="1" customWidth="1"/>
    <col min="22" max="24" width="8.7265625" style="1"/>
    <col min="25" max="25" width="11.7265625" style="1" customWidth="1"/>
    <col min="26" max="26" width="8.7265625" style="32"/>
    <col min="27" max="27" width="12.7265625" style="1" customWidth="1"/>
    <col min="28" max="28" width="11.81640625" style="1" customWidth="1"/>
    <col min="29" max="29" width="9.90625" style="1" customWidth="1"/>
    <col min="30" max="30" width="12.6328125" style="1" customWidth="1"/>
    <col min="31" max="31" width="15.453125" style="1" customWidth="1"/>
    <col min="32" max="32" width="20.6328125" style="1" customWidth="1"/>
    <col min="33" max="33" width="8.7265625" style="1"/>
    <col min="34" max="34" width="17.6328125" style="1" customWidth="1"/>
    <col min="35" max="36" width="8.7265625" style="1"/>
    <col min="37" max="37" width="18.36328125" style="1" customWidth="1"/>
    <col min="38" max="38" width="17.1796875" style="1" customWidth="1"/>
    <col min="39" max="16384" width="8.7265625" style="1"/>
  </cols>
  <sheetData>
    <row r="1" spans="1:45" x14ac:dyDescent="0.3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8"/>
    </row>
    <row r="2" spans="1:45" s="2" customFormat="1" ht="13.5" thickBot="1" x14ac:dyDescent="0.35">
      <c r="A2" s="5" t="s">
        <v>23</v>
      </c>
      <c r="B2" s="5" t="s">
        <v>19</v>
      </c>
      <c r="C2" s="5"/>
      <c r="D2" s="5" t="s">
        <v>0</v>
      </c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  <c r="Z2" s="40"/>
      <c r="AD2" s="2" t="s">
        <v>71</v>
      </c>
      <c r="AE2" s="2" t="s">
        <v>70</v>
      </c>
      <c r="AF2" s="2" t="s">
        <v>0</v>
      </c>
      <c r="AG2" s="2" t="s">
        <v>72</v>
      </c>
      <c r="AH2" s="2" t="s">
        <v>73</v>
      </c>
      <c r="AK2" s="2" t="s">
        <v>111</v>
      </c>
      <c r="AL2" s="2" t="s">
        <v>110</v>
      </c>
    </row>
    <row r="3" spans="1:45" ht="13.5" thickBot="1" x14ac:dyDescent="0.35">
      <c r="A3" s="8" t="s">
        <v>24</v>
      </c>
      <c r="B3" s="8" t="s">
        <v>34</v>
      </c>
      <c r="C3" s="8" t="s">
        <v>57</v>
      </c>
      <c r="D3" s="8" t="str">
        <f t="shared" ref="D3:D31" si="0">IF(ISBLANK(INDEX(currentYear,ROW()-1)),"",INDEX(currentYear,ROW()-1))</f>
        <v/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8"/>
      <c r="AA3" s="25" t="s">
        <v>24</v>
      </c>
      <c r="AB3" s="25" t="s">
        <v>34</v>
      </c>
      <c r="AC3" s="25" t="s">
        <v>57</v>
      </c>
      <c r="AD3" s="25">
        <v>0</v>
      </c>
      <c r="AE3" s="25">
        <v>6.2E-2</v>
      </c>
      <c r="AF3" s="25">
        <f t="shared" ref="AF3:AF25" si="1">IF(D3&lt;&gt;"",D3,0)</f>
        <v>0</v>
      </c>
      <c r="AG3" s="38" t="e">
        <f t="shared" ref="AG3:AG29" si="2">AF3/$AF$31</f>
        <v>#DIV/0!</v>
      </c>
      <c r="AH3" s="39" t="e">
        <f>AG3</f>
        <v>#DIV/0!</v>
      </c>
      <c r="AI3" s="1" t="s">
        <v>97</v>
      </c>
      <c r="AJ3" s="34" t="e">
        <f>AG3</f>
        <v>#DIV/0!</v>
      </c>
      <c r="AK3" s="33" t="e">
        <f t="shared" ref="AK3:AK25" si="3">AF3/particleTotal</f>
        <v>#DIV/0!</v>
      </c>
      <c r="AL3" s="34" t="e">
        <f>AK3</f>
        <v>#DIV/0!</v>
      </c>
    </row>
    <row r="4" spans="1:45" ht="13.5" thickTop="1" x14ac:dyDescent="0.3">
      <c r="A4" s="12" t="s">
        <v>25</v>
      </c>
      <c r="B4" s="12" t="s">
        <v>35</v>
      </c>
      <c r="C4" s="12" t="s">
        <v>58</v>
      </c>
      <c r="D4" s="12" t="str">
        <f t="shared" si="0"/>
        <v/>
      </c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8"/>
      <c r="AA4" s="1" t="s">
        <v>25</v>
      </c>
      <c r="AB4" s="1" t="s">
        <v>35</v>
      </c>
      <c r="AC4" s="1" t="s">
        <v>58</v>
      </c>
      <c r="AD4" s="1">
        <f>AE3</f>
        <v>6.2E-2</v>
      </c>
      <c r="AE4" s="1">
        <v>0.125</v>
      </c>
      <c r="AF4" s="1">
        <f t="shared" si="1"/>
        <v>0</v>
      </c>
      <c r="AG4" s="33" t="e">
        <f t="shared" si="2"/>
        <v>#DIV/0!</v>
      </c>
      <c r="AH4" s="34" t="e">
        <f>AG4+AH3</f>
        <v>#DIV/0!</v>
      </c>
      <c r="AK4" s="33" t="e">
        <f t="shared" si="3"/>
        <v>#DIV/0!</v>
      </c>
      <c r="AL4" s="34" t="e">
        <f>AK4+AL3</f>
        <v>#DIV/0!</v>
      </c>
    </row>
    <row r="5" spans="1:45" x14ac:dyDescent="0.3">
      <c r="A5" s="13" t="s">
        <v>26</v>
      </c>
      <c r="B5" s="13" t="s">
        <v>36</v>
      </c>
      <c r="C5" s="13" t="s">
        <v>59</v>
      </c>
      <c r="D5" s="13" t="str">
        <f t="shared" si="0"/>
        <v/>
      </c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8"/>
      <c r="AA5" s="1" t="s">
        <v>26</v>
      </c>
      <c r="AB5" s="1" t="s">
        <v>36</v>
      </c>
      <c r="AC5" s="1" t="s">
        <v>59</v>
      </c>
      <c r="AD5" s="1">
        <f t="shared" ref="AD5:AD25" si="4">AE4</f>
        <v>0.125</v>
      </c>
      <c r="AE5" s="1">
        <v>0.25</v>
      </c>
      <c r="AF5" s="1">
        <f t="shared" si="1"/>
        <v>0</v>
      </c>
      <c r="AG5" s="33" t="e">
        <f t="shared" si="2"/>
        <v>#DIV/0!</v>
      </c>
      <c r="AH5" s="34" t="e">
        <f t="shared" ref="AH5:AH25" si="5">AG5+AH4</f>
        <v>#DIV/0!</v>
      </c>
      <c r="AK5" s="33" t="e">
        <f t="shared" si="3"/>
        <v>#DIV/0!</v>
      </c>
      <c r="AL5" s="34" t="e">
        <f t="shared" ref="AL5:AL25" si="6">AK5+AL4</f>
        <v>#DIV/0!</v>
      </c>
    </row>
    <row r="6" spans="1:45" x14ac:dyDescent="0.3">
      <c r="A6" s="13" t="s">
        <v>27</v>
      </c>
      <c r="B6" s="13" t="s">
        <v>37</v>
      </c>
      <c r="C6" s="13" t="s">
        <v>60</v>
      </c>
      <c r="D6" s="13" t="str">
        <f t="shared" si="0"/>
        <v/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8"/>
      <c r="AA6" s="1" t="s">
        <v>27</v>
      </c>
      <c r="AB6" s="1" t="s">
        <v>37</v>
      </c>
      <c r="AC6" s="1" t="s">
        <v>60</v>
      </c>
      <c r="AD6" s="1">
        <f t="shared" si="4"/>
        <v>0.25</v>
      </c>
      <c r="AE6" s="1">
        <v>0.5</v>
      </c>
      <c r="AF6" s="1">
        <f t="shared" si="1"/>
        <v>0</v>
      </c>
      <c r="AG6" s="33" t="e">
        <f t="shared" si="2"/>
        <v>#DIV/0!</v>
      </c>
      <c r="AH6" s="34" t="e">
        <f t="shared" si="5"/>
        <v>#DIV/0!</v>
      </c>
      <c r="AK6" s="33" t="e">
        <f t="shared" si="3"/>
        <v>#DIV/0!</v>
      </c>
      <c r="AL6" s="34" t="e">
        <f t="shared" si="6"/>
        <v>#DIV/0!</v>
      </c>
    </row>
    <row r="7" spans="1:45" x14ac:dyDescent="0.3">
      <c r="A7" s="13" t="s">
        <v>28</v>
      </c>
      <c r="B7" s="13" t="s">
        <v>38</v>
      </c>
      <c r="C7" s="13" t="s">
        <v>61</v>
      </c>
      <c r="D7" s="13" t="str">
        <f t="shared" si="0"/>
        <v/>
      </c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8"/>
      <c r="AA7" s="1" t="s">
        <v>28</v>
      </c>
      <c r="AB7" s="1" t="s">
        <v>38</v>
      </c>
      <c r="AC7" s="1" t="s">
        <v>61</v>
      </c>
      <c r="AD7" s="1">
        <f t="shared" si="4"/>
        <v>0.5</v>
      </c>
      <c r="AE7" s="1">
        <v>1</v>
      </c>
      <c r="AF7" s="1">
        <f t="shared" si="1"/>
        <v>0</v>
      </c>
      <c r="AG7" s="33" t="e">
        <f t="shared" si="2"/>
        <v>#DIV/0!</v>
      </c>
      <c r="AH7" s="34" t="e">
        <f t="shared" si="5"/>
        <v>#DIV/0!</v>
      </c>
      <c r="AK7" s="33" t="e">
        <f t="shared" si="3"/>
        <v>#DIV/0!</v>
      </c>
      <c r="AL7" s="34" t="e">
        <f t="shared" si="6"/>
        <v>#DIV/0!</v>
      </c>
      <c r="AM7" s="1" t="s">
        <v>58</v>
      </c>
      <c r="AN7" s="1" t="s">
        <v>106</v>
      </c>
      <c r="AO7" s="1" t="s">
        <v>107</v>
      </c>
      <c r="AP7" s="1" t="s">
        <v>15</v>
      </c>
      <c r="AQ7" s="1" t="s">
        <v>108</v>
      </c>
      <c r="AR7" s="1" t="s">
        <v>109</v>
      </c>
      <c r="AS7" s="1" t="s">
        <v>105</v>
      </c>
    </row>
    <row r="8" spans="1:45" ht="13.5" thickBot="1" x14ac:dyDescent="0.35">
      <c r="A8" s="14" t="s">
        <v>29</v>
      </c>
      <c r="B8" s="14" t="s">
        <v>39</v>
      </c>
      <c r="C8" s="14" t="s">
        <v>58</v>
      </c>
      <c r="D8" s="14" t="str">
        <f t="shared" si="0"/>
        <v/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8"/>
      <c r="AA8" s="25" t="s">
        <v>29</v>
      </c>
      <c r="AB8" s="25" t="s">
        <v>39</v>
      </c>
      <c r="AC8" s="25" t="s">
        <v>58</v>
      </c>
      <c r="AD8" s="25">
        <f t="shared" si="4"/>
        <v>1</v>
      </c>
      <c r="AE8" s="25">
        <v>2</v>
      </c>
      <c r="AF8" s="25">
        <f t="shared" si="1"/>
        <v>0</v>
      </c>
      <c r="AG8" s="38" t="e">
        <f t="shared" si="2"/>
        <v>#DIV/0!</v>
      </c>
      <c r="AH8" s="39" t="e">
        <f t="shared" si="5"/>
        <v>#DIV/0!</v>
      </c>
      <c r="AI8" s="1" t="s">
        <v>96</v>
      </c>
      <c r="AJ8" s="34" t="e">
        <f>SUM(AG4:AG8)</f>
        <v>#DIV/0!</v>
      </c>
      <c r="AK8" s="33" t="e">
        <f t="shared" si="3"/>
        <v>#DIV/0!</v>
      </c>
      <c r="AL8" s="34" t="e">
        <f t="shared" si="6"/>
        <v>#DIV/0!</v>
      </c>
      <c r="AM8" s="1">
        <v>16</v>
      </c>
      <c r="AS8" s="1" t="e">
        <f>2^(LOG((INDEX($AE$3:$AE$25,MATCH(AM8/100,$AL$3:$AL$25,1))),2)+(LOG((INDEX($AE$3:$AE$25,MATCH(AM8/100, $AL$3:$AL$25,1)+1)),2)-LOG((INDEX($AE$3:$AE$25,MATCH(AM8/100,$AL$3:$AL$25,1))),2))*(AM8/100-INDEX($AL$3:$AL$25,MATCH(AM8/100, $AL$3:$AL$25,1)))/(INDEX($AL$3:$AL$25,MATCH(AM8/100, $AL$3:$AL$25,1)+1)-INDEX($AL$3:$AL$25,MATCH(AM8/100, $AL$3:$AL$25,1))))</f>
        <v>#N/A</v>
      </c>
    </row>
    <row r="9" spans="1:45" ht="13.5" thickTop="1" x14ac:dyDescent="0.3">
      <c r="A9" s="9" t="s">
        <v>25</v>
      </c>
      <c r="B9" s="9" t="s">
        <v>40</v>
      </c>
      <c r="C9" s="9"/>
      <c r="D9" s="9" t="str">
        <f t="shared" si="0"/>
        <v/>
      </c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8"/>
      <c r="AA9" s="1" t="s">
        <v>25</v>
      </c>
      <c r="AB9" s="1" t="s">
        <v>40</v>
      </c>
      <c r="AD9" s="1">
        <f t="shared" si="4"/>
        <v>2</v>
      </c>
      <c r="AE9" s="1">
        <v>4</v>
      </c>
      <c r="AF9" s="1">
        <f t="shared" si="1"/>
        <v>0</v>
      </c>
      <c r="AG9" s="33" t="e">
        <f t="shared" si="2"/>
        <v>#DIV/0!</v>
      </c>
      <c r="AH9" s="34" t="e">
        <f t="shared" si="5"/>
        <v>#DIV/0!</v>
      </c>
      <c r="AK9" s="33" t="e">
        <f t="shared" si="3"/>
        <v>#DIV/0!</v>
      </c>
      <c r="AL9" s="34" t="e">
        <f t="shared" si="6"/>
        <v>#DIV/0!</v>
      </c>
      <c r="AM9" s="1">
        <v>35</v>
      </c>
      <c r="AS9" s="1" t="e">
        <f>2^(LOG((INDEX($AE$3:$AE$25,MATCH(AM9/100,$AL$3:$AL$25,1))),2)+(LOG((INDEX($AE$3:$AE$25,MATCH(AM9/100, $AL$3:$AL$25,1)+1)),2)-LOG((INDEX($AE$3:$AE$25,MATCH(AM9/100,$AL$3:$AL$25,1))),2))*(AM9/100-INDEX($AL$3:$AL$25,MATCH(AM9/100, $AL$3:$AL$25,1)))/(INDEX($AL$3:$AL$25,MATCH(AM9/100, $AL$3:$AL$25,1)+1)-INDEX($AL$3:$AL$25,MATCH(AM9/100, $AL$3:$AL$25,1))))</f>
        <v>#N/A</v>
      </c>
    </row>
    <row r="10" spans="1:45" x14ac:dyDescent="0.3">
      <c r="A10" s="10" t="s">
        <v>26</v>
      </c>
      <c r="B10" s="10" t="s">
        <v>41</v>
      </c>
      <c r="C10" s="10" t="s">
        <v>62</v>
      </c>
      <c r="D10" s="10" t="str">
        <f t="shared" si="0"/>
        <v/>
      </c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8"/>
      <c r="Z10" s="32" t="s">
        <v>89</v>
      </c>
      <c r="AA10" s="1" t="s">
        <v>26</v>
      </c>
      <c r="AB10" s="1" t="s">
        <v>41</v>
      </c>
      <c r="AC10" s="1" t="s">
        <v>62</v>
      </c>
      <c r="AD10" s="1">
        <f t="shared" si="4"/>
        <v>4</v>
      </c>
      <c r="AE10" s="1">
        <v>4.7</v>
      </c>
      <c r="AF10" s="1">
        <f t="shared" si="1"/>
        <v>0</v>
      </c>
      <c r="AG10" s="33" t="e">
        <f t="shared" si="2"/>
        <v>#DIV/0!</v>
      </c>
      <c r="AH10" s="34" t="e">
        <f t="shared" si="5"/>
        <v>#DIV/0!</v>
      </c>
      <c r="AK10" s="33" t="e">
        <f t="shared" si="3"/>
        <v>#DIV/0!</v>
      </c>
      <c r="AL10" s="34" t="e">
        <f t="shared" si="6"/>
        <v>#DIV/0!</v>
      </c>
      <c r="AM10" s="1">
        <v>50</v>
      </c>
      <c r="AS10" s="1" t="e">
        <f t="shared" ref="AS10:AS13" si="7">2^(LOG((INDEX($AE$3:$AE$25,MATCH(AM10/100,$AL$3:$AL$25,1))),2)+(LOG((INDEX($AE$3:$AE$25,MATCH(AM10/100, $AL$3:$AL$25,1)+1)),2)-LOG((INDEX($AE$3:$AE$25,MATCH(AM10/100,$AL$3:$AL$25,1))),2))*(AM10/100-INDEX($AL$3:$AL$25,MATCH(AM10/100, $AL$3:$AL$25,1)))/(INDEX($AL$3:$AL$25,MATCH(AM10/100, $AL$3:$AL$25,1)+1)-INDEX($AL$3:$AL$25,MATCH(AM10/100, $AL$3:$AL$25,1))))</f>
        <v>#N/A</v>
      </c>
    </row>
    <row r="11" spans="1:45" x14ac:dyDescent="0.3">
      <c r="A11" s="10" t="s">
        <v>26</v>
      </c>
      <c r="B11" s="10" t="s">
        <v>42</v>
      </c>
      <c r="C11" s="10" t="s">
        <v>16</v>
      </c>
      <c r="D11" s="10" t="str">
        <f t="shared" si="0"/>
        <v/>
      </c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8"/>
      <c r="Z11" s="32" t="s">
        <v>13</v>
      </c>
      <c r="AA11" s="1" t="s">
        <v>26</v>
      </c>
      <c r="AB11" s="1" t="s">
        <v>42</v>
      </c>
      <c r="AC11" s="1" t="s">
        <v>16</v>
      </c>
      <c r="AD11" s="1">
        <f t="shared" si="4"/>
        <v>4.7</v>
      </c>
      <c r="AE11" s="1">
        <v>8</v>
      </c>
      <c r="AF11" s="1">
        <f t="shared" si="1"/>
        <v>0</v>
      </c>
      <c r="AG11" s="33" t="e">
        <f t="shared" si="2"/>
        <v>#DIV/0!</v>
      </c>
      <c r="AH11" s="34" t="e">
        <f t="shared" si="5"/>
        <v>#DIV/0!</v>
      </c>
      <c r="AK11" s="33" t="e">
        <f t="shared" si="3"/>
        <v>#DIV/0!</v>
      </c>
      <c r="AL11" s="34" t="e">
        <f t="shared" si="6"/>
        <v>#DIV/0!</v>
      </c>
      <c r="AM11" s="1">
        <v>65</v>
      </c>
      <c r="AS11" s="1" t="e">
        <f t="shared" si="7"/>
        <v>#N/A</v>
      </c>
    </row>
    <row r="12" spans="1:45" x14ac:dyDescent="0.3">
      <c r="A12" s="10" t="s">
        <v>27</v>
      </c>
      <c r="B12" s="10" t="s">
        <v>43</v>
      </c>
      <c r="C12" s="10" t="s">
        <v>59</v>
      </c>
      <c r="D12" s="10" t="str">
        <f t="shared" si="0"/>
        <v/>
      </c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8"/>
      <c r="Z12" s="32" t="s">
        <v>90</v>
      </c>
      <c r="AA12" s="1" t="s">
        <v>27</v>
      </c>
      <c r="AB12" s="1" t="s">
        <v>43</v>
      </c>
      <c r="AC12" s="1" t="s">
        <v>59</v>
      </c>
      <c r="AD12" s="1">
        <f t="shared" si="4"/>
        <v>8</v>
      </c>
      <c r="AE12" s="1">
        <v>11.3</v>
      </c>
      <c r="AF12" s="1">
        <f t="shared" si="1"/>
        <v>0</v>
      </c>
      <c r="AG12" s="33" t="e">
        <f t="shared" si="2"/>
        <v>#DIV/0!</v>
      </c>
      <c r="AH12" s="34" t="e">
        <f t="shared" si="5"/>
        <v>#DIV/0!</v>
      </c>
      <c r="AK12" s="33" t="e">
        <f t="shared" si="3"/>
        <v>#DIV/0!</v>
      </c>
      <c r="AL12" s="34" t="e">
        <f t="shared" si="6"/>
        <v>#DIV/0!</v>
      </c>
      <c r="AM12" s="1">
        <v>84</v>
      </c>
      <c r="AS12" s="1" t="e">
        <f t="shared" si="7"/>
        <v>#N/A</v>
      </c>
    </row>
    <row r="13" spans="1:45" x14ac:dyDescent="0.3">
      <c r="A13" s="10" t="s">
        <v>27</v>
      </c>
      <c r="B13" s="10" t="s">
        <v>44</v>
      </c>
      <c r="C13" s="10" t="s">
        <v>63</v>
      </c>
      <c r="D13" s="10" t="str">
        <f t="shared" si="0"/>
        <v/>
      </c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8"/>
      <c r="Z13" s="32" t="s">
        <v>88</v>
      </c>
      <c r="AA13" s="1" t="s">
        <v>27</v>
      </c>
      <c r="AB13" s="1" t="s">
        <v>44</v>
      </c>
      <c r="AC13" s="1" t="s">
        <v>63</v>
      </c>
      <c r="AD13" s="1">
        <f t="shared" si="4"/>
        <v>11.3</v>
      </c>
      <c r="AE13" s="1">
        <v>16</v>
      </c>
      <c r="AF13" s="1">
        <f t="shared" si="1"/>
        <v>0</v>
      </c>
      <c r="AG13" s="33" t="e">
        <f t="shared" si="2"/>
        <v>#DIV/0!</v>
      </c>
      <c r="AH13" s="34" t="e">
        <f t="shared" si="5"/>
        <v>#DIV/0!</v>
      </c>
      <c r="AK13" s="33" t="e">
        <f t="shared" si="3"/>
        <v>#DIV/0!</v>
      </c>
      <c r="AL13" s="34" t="e">
        <f t="shared" si="6"/>
        <v>#DIV/0!</v>
      </c>
      <c r="AM13" s="1">
        <v>95</v>
      </c>
      <c r="AS13" s="1" t="e">
        <f t="shared" si="7"/>
        <v>#N/A</v>
      </c>
    </row>
    <row r="14" spans="1:45" x14ac:dyDescent="0.3">
      <c r="A14" s="10" t="s">
        <v>28</v>
      </c>
      <c r="B14" s="10" t="s">
        <v>45</v>
      </c>
      <c r="C14" s="10" t="s">
        <v>64</v>
      </c>
      <c r="D14" s="10" t="str">
        <f t="shared" si="0"/>
        <v/>
      </c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8"/>
      <c r="Z14" s="32" t="s">
        <v>91</v>
      </c>
      <c r="AA14" s="1" t="s">
        <v>28</v>
      </c>
      <c r="AB14" s="1" t="s">
        <v>45</v>
      </c>
      <c r="AC14" s="1" t="s">
        <v>64</v>
      </c>
      <c r="AD14" s="1">
        <f t="shared" si="4"/>
        <v>16</v>
      </c>
      <c r="AE14" s="1">
        <v>22.6</v>
      </c>
      <c r="AF14" s="1">
        <f t="shared" si="1"/>
        <v>0</v>
      </c>
      <c r="AG14" s="33" t="e">
        <f t="shared" si="2"/>
        <v>#DIV/0!</v>
      </c>
      <c r="AH14" s="34" t="e">
        <f t="shared" si="5"/>
        <v>#DIV/0!</v>
      </c>
      <c r="AK14" s="33" t="e">
        <f t="shared" si="3"/>
        <v>#DIV/0!</v>
      </c>
      <c r="AL14" s="34" t="e">
        <f t="shared" si="6"/>
        <v>#DIV/0!</v>
      </c>
    </row>
    <row r="15" spans="1:45" x14ac:dyDescent="0.3">
      <c r="A15" s="10" t="s">
        <v>28</v>
      </c>
      <c r="B15" s="10" t="s">
        <v>46</v>
      </c>
      <c r="C15" s="10" t="s">
        <v>65</v>
      </c>
      <c r="D15" s="10" t="str">
        <f t="shared" si="0"/>
        <v/>
      </c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8"/>
      <c r="Z15" s="32" t="s">
        <v>14</v>
      </c>
      <c r="AA15" s="1" t="s">
        <v>28</v>
      </c>
      <c r="AB15" s="1" t="s">
        <v>46</v>
      </c>
      <c r="AC15" s="1" t="s">
        <v>65</v>
      </c>
      <c r="AD15" s="1">
        <f t="shared" si="4"/>
        <v>22.6</v>
      </c>
      <c r="AE15" s="1">
        <v>32</v>
      </c>
      <c r="AF15" s="1">
        <f t="shared" si="1"/>
        <v>0</v>
      </c>
      <c r="AG15" s="33" t="e">
        <f t="shared" si="2"/>
        <v>#DIV/0!</v>
      </c>
      <c r="AH15" s="34" t="e">
        <f t="shared" si="5"/>
        <v>#DIV/0!</v>
      </c>
      <c r="AK15" s="33" t="e">
        <f t="shared" si="3"/>
        <v>#DIV/0!</v>
      </c>
      <c r="AL15" s="34" t="e">
        <f t="shared" si="6"/>
        <v>#DIV/0!</v>
      </c>
    </row>
    <row r="16" spans="1:45" x14ac:dyDescent="0.3">
      <c r="A16" s="10" t="s">
        <v>29</v>
      </c>
      <c r="B16" s="10" t="s">
        <v>47</v>
      </c>
      <c r="C16" s="10" t="s">
        <v>58</v>
      </c>
      <c r="D16" s="10" t="str">
        <f t="shared" si="0"/>
        <v/>
      </c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8"/>
      <c r="Z16" s="32" t="s">
        <v>92</v>
      </c>
      <c r="AA16" s="1" t="s">
        <v>29</v>
      </c>
      <c r="AB16" s="1" t="s">
        <v>47</v>
      </c>
      <c r="AC16" s="1" t="s">
        <v>58</v>
      </c>
      <c r="AD16" s="1">
        <f t="shared" si="4"/>
        <v>32</v>
      </c>
      <c r="AE16" s="1">
        <v>45</v>
      </c>
      <c r="AF16" s="1">
        <f t="shared" si="1"/>
        <v>0</v>
      </c>
      <c r="AG16" s="33" t="e">
        <f t="shared" si="2"/>
        <v>#DIV/0!</v>
      </c>
      <c r="AH16" s="34" t="e">
        <f t="shared" si="5"/>
        <v>#DIV/0!</v>
      </c>
      <c r="AK16" s="33" t="e">
        <f t="shared" si="3"/>
        <v>#DIV/0!</v>
      </c>
      <c r="AL16" s="34" t="e">
        <f t="shared" si="6"/>
        <v>#DIV/0!</v>
      </c>
    </row>
    <row r="17" spans="1:38" ht="13.5" thickBot="1" x14ac:dyDescent="0.35">
      <c r="A17" s="11" t="s">
        <v>29</v>
      </c>
      <c r="B17" s="11" t="s">
        <v>48</v>
      </c>
      <c r="C17" s="11"/>
      <c r="D17" s="11" t="str">
        <f t="shared" si="0"/>
        <v/>
      </c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8"/>
      <c r="Z17" s="32" t="s">
        <v>87</v>
      </c>
      <c r="AA17" s="25" t="s">
        <v>29</v>
      </c>
      <c r="AB17" s="25" t="s">
        <v>48</v>
      </c>
      <c r="AC17" s="25"/>
      <c r="AD17" s="25">
        <f t="shared" si="4"/>
        <v>45</v>
      </c>
      <c r="AE17" s="25">
        <v>64</v>
      </c>
      <c r="AF17" s="25">
        <f t="shared" si="1"/>
        <v>0</v>
      </c>
      <c r="AG17" s="38" t="e">
        <f t="shared" si="2"/>
        <v>#DIV/0!</v>
      </c>
      <c r="AH17" s="39" t="e">
        <f t="shared" si="5"/>
        <v>#DIV/0!</v>
      </c>
      <c r="AI17" s="1" t="s">
        <v>98</v>
      </c>
      <c r="AJ17" s="34" t="e">
        <f>SUM(AG9:AG17)</f>
        <v>#DIV/0!</v>
      </c>
      <c r="AK17" s="33" t="e">
        <f t="shared" si="3"/>
        <v>#DIV/0!</v>
      </c>
      <c r="AL17" s="34" t="e">
        <f t="shared" si="6"/>
        <v>#DIV/0!</v>
      </c>
    </row>
    <row r="18" spans="1:38" ht="13.5" thickTop="1" x14ac:dyDescent="0.3">
      <c r="A18" s="15" t="s">
        <v>30</v>
      </c>
      <c r="B18" s="15" t="s">
        <v>49</v>
      </c>
      <c r="C18" s="15" t="s">
        <v>66</v>
      </c>
      <c r="D18" s="15" t="str">
        <f t="shared" si="0"/>
        <v/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8"/>
      <c r="Z18" s="32" t="s">
        <v>93</v>
      </c>
      <c r="AA18" s="1" t="s">
        <v>30</v>
      </c>
      <c r="AB18" s="1" t="s">
        <v>49</v>
      </c>
      <c r="AC18" s="1" t="s">
        <v>66</v>
      </c>
      <c r="AD18" s="1">
        <f t="shared" si="4"/>
        <v>64</v>
      </c>
      <c r="AE18" s="1">
        <v>90</v>
      </c>
      <c r="AF18" s="1">
        <f t="shared" si="1"/>
        <v>0</v>
      </c>
      <c r="AG18" s="33" t="e">
        <f t="shared" si="2"/>
        <v>#DIV/0!</v>
      </c>
      <c r="AH18" s="34" t="e">
        <f t="shared" si="5"/>
        <v>#DIV/0!</v>
      </c>
      <c r="AK18" s="33" t="e">
        <f t="shared" si="3"/>
        <v>#DIV/0!</v>
      </c>
      <c r="AL18" s="34" t="e">
        <f t="shared" si="6"/>
        <v>#DIV/0!</v>
      </c>
    </row>
    <row r="19" spans="1:38" x14ac:dyDescent="0.3">
      <c r="A19" s="16" t="s">
        <v>30</v>
      </c>
      <c r="B19" s="16" t="s">
        <v>50</v>
      </c>
      <c r="C19" s="16" t="s">
        <v>67</v>
      </c>
      <c r="D19" s="16" t="str">
        <f t="shared" si="0"/>
        <v/>
      </c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8"/>
      <c r="AA19" s="1" t="s">
        <v>30</v>
      </c>
      <c r="AB19" s="1" t="s">
        <v>50</v>
      </c>
      <c r="AC19" s="1" t="s">
        <v>67</v>
      </c>
      <c r="AD19" s="1">
        <f t="shared" si="4"/>
        <v>90</v>
      </c>
      <c r="AE19" s="1">
        <v>128</v>
      </c>
      <c r="AF19" s="1">
        <f t="shared" si="1"/>
        <v>0</v>
      </c>
      <c r="AG19" s="33" t="e">
        <f t="shared" si="2"/>
        <v>#DIV/0!</v>
      </c>
      <c r="AH19" s="34" t="e">
        <f t="shared" si="5"/>
        <v>#DIV/0!</v>
      </c>
      <c r="AK19" s="33" t="e">
        <f t="shared" si="3"/>
        <v>#DIV/0!</v>
      </c>
      <c r="AL19" s="34" t="e">
        <f t="shared" si="6"/>
        <v>#DIV/0!</v>
      </c>
    </row>
    <row r="20" spans="1:38" x14ac:dyDescent="0.3">
      <c r="A20" s="16" t="s">
        <v>31</v>
      </c>
      <c r="B20" s="16" t="s">
        <v>51</v>
      </c>
      <c r="C20" s="16" t="s">
        <v>68</v>
      </c>
      <c r="D20" s="16" t="str">
        <f t="shared" si="0"/>
        <v/>
      </c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8"/>
      <c r="AA20" s="1" t="s">
        <v>31</v>
      </c>
      <c r="AB20" s="1" t="s">
        <v>51</v>
      </c>
      <c r="AC20" s="1" t="s">
        <v>68</v>
      </c>
      <c r="AD20" s="1">
        <f t="shared" si="4"/>
        <v>128</v>
      </c>
      <c r="AE20" s="1">
        <v>180</v>
      </c>
      <c r="AF20" s="1">
        <f t="shared" si="1"/>
        <v>0</v>
      </c>
      <c r="AG20" s="33" t="e">
        <f t="shared" si="2"/>
        <v>#DIV/0!</v>
      </c>
      <c r="AH20" s="34" t="e">
        <f t="shared" si="5"/>
        <v>#DIV/0!</v>
      </c>
      <c r="AK20" s="33" t="e">
        <f t="shared" si="3"/>
        <v>#DIV/0!</v>
      </c>
      <c r="AL20" s="34" t="e">
        <f t="shared" si="6"/>
        <v>#DIV/0!</v>
      </c>
    </row>
    <row r="21" spans="1:38" ht="13.5" thickBot="1" x14ac:dyDescent="0.35">
      <c r="A21" s="17" t="s">
        <v>31</v>
      </c>
      <c r="B21" s="17" t="s">
        <v>52</v>
      </c>
      <c r="C21" s="17" t="s">
        <v>65</v>
      </c>
      <c r="D21" s="17" t="str">
        <f t="shared" si="0"/>
        <v/>
      </c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8"/>
      <c r="AA21" s="25" t="s">
        <v>31</v>
      </c>
      <c r="AB21" s="25" t="s">
        <v>52</v>
      </c>
      <c r="AC21" s="25" t="s">
        <v>65</v>
      </c>
      <c r="AD21" s="25">
        <f t="shared" si="4"/>
        <v>180</v>
      </c>
      <c r="AE21" s="25">
        <v>256</v>
      </c>
      <c r="AF21" s="25">
        <f t="shared" si="1"/>
        <v>0</v>
      </c>
      <c r="AG21" s="38" t="e">
        <f t="shared" si="2"/>
        <v>#DIV/0!</v>
      </c>
      <c r="AH21" s="39" t="e">
        <f t="shared" si="5"/>
        <v>#DIV/0!</v>
      </c>
      <c r="AI21" s="1" t="s">
        <v>99</v>
      </c>
      <c r="AJ21" s="34" t="e">
        <f>SUM(AG18:AG21)</f>
        <v>#DIV/0!</v>
      </c>
      <c r="AK21" s="33" t="e">
        <f t="shared" si="3"/>
        <v>#DIV/0!</v>
      </c>
      <c r="AL21" s="34" t="e">
        <f t="shared" si="6"/>
        <v>#DIV/0!</v>
      </c>
    </row>
    <row r="22" spans="1:38" ht="13.5" thickTop="1" x14ac:dyDescent="0.3">
      <c r="A22" s="18" t="s">
        <v>30</v>
      </c>
      <c r="B22" s="18" t="s">
        <v>53</v>
      </c>
      <c r="C22" s="18" t="s">
        <v>68</v>
      </c>
      <c r="D22" s="18" t="str">
        <f t="shared" si="0"/>
        <v/>
      </c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8"/>
      <c r="AA22" s="1" t="s">
        <v>30</v>
      </c>
      <c r="AB22" s="1" t="s">
        <v>53</v>
      </c>
      <c r="AC22" s="1" t="s">
        <v>68</v>
      </c>
      <c r="AD22" s="1">
        <f t="shared" si="4"/>
        <v>256</v>
      </c>
      <c r="AE22" s="1">
        <v>362</v>
      </c>
      <c r="AF22" s="1">
        <f t="shared" si="1"/>
        <v>0</v>
      </c>
      <c r="AG22" s="33" t="e">
        <f t="shared" si="2"/>
        <v>#DIV/0!</v>
      </c>
      <c r="AH22" s="34" t="e">
        <f t="shared" si="5"/>
        <v>#DIV/0!</v>
      </c>
      <c r="AK22" s="33" t="e">
        <f t="shared" si="3"/>
        <v>#DIV/0!</v>
      </c>
      <c r="AL22" s="34" t="e">
        <f t="shared" si="6"/>
        <v>#DIV/0!</v>
      </c>
    </row>
    <row r="23" spans="1:38" x14ac:dyDescent="0.3">
      <c r="A23" s="19" t="s">
        <v>30</v>
      </c>
      <c r="B23" s="19" t="s">
        <v>54</v>
      </c>
      <c r="C23" s="19" t="s">
        <v>65</v>
      </c>
      <c r="D23" s="19" t="str">
        <f t="shared" si="0"/>
        <v/>
      </c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8"/>
      <c r="AA23" s="1" t="s">
        <v>30</v>
      </c>
      <c r="AB23" s="1" t="s">
        <v>54</v>
      </c>
      <c r="AC23" s="1" t="s">
        <v>65</v>
      </c>
      <c r="AD23" s="1">
        <f t="shared" si="4"/>
        <v>362</v>
      </c>
      <c r="AE23" s="1">
        <v>512</v>
      </c>
      <c r="AF23" s="1">
        <f t="shared" si="1"/>
        <v>0</v>
      </c>
      <c r="AG23" s="33" t="e">
        <f t="shared" si="2"/>
        <v>#DIV/0!</v>
      </c>
      <c r="AH23" s="34" t="e">
        <f t="shared" si="5"/>
        <v>#DIV/0!</v>
      </c>
      <c r="AK23" s="33" t="e">
        <f t="shared" si="3"/>
        <v>#DIV/0!</v>
      </c>
      <c r="AL23" s="34" t="e">
        <f t="shared" si="6"/>
        <v>#DIV/0!</v>
      </c>
    </row>
    <row r="24" spans="1:38" x14ac:dyDescent="0.3">
      <c r="A24" s="19" t="s">
        <v>27</v>
      </c>
      <c r="B24" s="19" t="s">
        <v>55</v>
      </c>
      <c r="C24" s="19" t="s">
        <v>61</v>
      </c>
      <c r="D24" s="19" t="str">
        <f t="shared" si="0"/>
        <v/>
      </c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8"/>
      <c r="AA24" s="1" t="s">
        <v>27</v>
      </c>
      <c r="AB24" s="1" t="s">
        <v>55</v>
      </c>
      <c r="AC24" s="1" t="s">
        <v>61</v>
      </c>
      <c r="AD24" s="1">
        <f t="shared" si="4"/>
        <v>512</v>
      </c>
      <c r="AE24" s="1">
        <v>1024</v>
      </c>
      <c r="AF24" s="1">
        <f t="shared" si="1"/>
        <v>0</v>
      </c>
      <c r="AG24" s="33" t="e">
        <f t="shared" si="2"/>
        <v>#DIV/0!</v>
      </c>
      <c r="AH24" s="34" t="e">
        <f t="shared" si="5"/>
        <v>#DIV/0!</v>
      </c>
      <c r="AK24" s="33" t="e">
        <f t="shared" si="3"/>
        <v>#DIV/0!</v>
      </c>
      <c r="AL24" s="34" t="e">
        <f t="shared" si="6"/>
        <v>#DIV/0!</v>
      </c>
    </row>
    <row r="25" spans="1:38" x14ac:dyDescent="0.3">
      <c r="A25" s="19" t="s">
        <v>32</v>
      </c>
      <c r="B25" s="19" t="s">
        <v>56</v>
      </c>
      <c r="C25" s="19" t="s">
        <v>16</v>
      </c>
      <c r="D25" s="19" t="str">
        <f t="shared" si="0"/>
        <v/>
      </c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8"/>
      <c r="AA25" s="25" t="s">
        <v>32</v>
      </c>
      <c r="AB25" s="25" t="s">
        <v>56</v>
      </c>
      <c r="AC25" s="25" t="s">
        <v>16</v>
      </c>
      <c r="AD25" s="25">
        <f t="shared" si="4"/>
        <v>1024</v>
      </c>
      <c r="AE25" s="25">
        <v>2048</v>
      </c>
      <c r="AF25" s="25">
        <f t="shared" si="1"/>
        <v>0</v>
      </c>
      <c r="AG25" s="38" t="e">
        <f t="shared" si="2"/>
        <v>#DIV/0!</v>
      </c>
      <c r="AH25" s="39" t="e">
        <f t="shared" si="5"/>
        <v>#DIV/0!</v>
      </c>
      <c r="AI25" s="1" t="s">
        <v>100</v>
      </c>
      <c r="AJ25" s="34" t="e">
        <f>SUM(AG22:AG25)</f>
        <v>#DIV/0!</v>
      </c>
      <c r="AK25" s="33" t="e">
        <f t="shared" si="3"/>
        <v>#DIV/0!</v>
      </c>
      <c r="AL25" s="34" t="e">
        <f t="shared" si="6"/>
        <v>#DIV/0!</v>
      </c>
    </row>
    <row r="26" spans="1:38" x14ac:dyDescent="0.3">
      <c r="A26" s="57"/>
      <c r="B26" s="61"/>
      <c r="C26" s="62" t="s">
        <v>86</v>
      </c>
      <c r="D26" s="63">
        <f t="shared" si="0"/>
        <v>0</v>
      </c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8"/>
      <c r="Z26" s="32" t="s">
        <v>87</v>
      </c>
      <c r="AA26" s="1" t="s">
        <v>33</v>
      </c>
      <c r="AD26" s="1" t="s">
        <v>74</v>
      </c>
      <c r="AF26" s="1">
        <f>IF(D27&lt;&gt;"",D27,0)</f>
        <v>0</v>
      </c>
      <c r="AG26" s="33" t="e">
        <f t="shared" si="2"/>
        <v>#DIV/0!</v>
      </c>
      <c r="AH26" s="34" t="e">
        <f>AG26+AH25</f>
        <v>#DIV/0!</v>
      </c>
      <c r="AI26" s="1" t="s">
        <v>101</v>
      </c>
      <c r="AJ26" s="34" t="e">
        <f>AG26</f>
        <v>#DIV/0!</v>
      </c>
    </row>
    <row r="27" spans="1:38" x14ac:dyDescent="0.3">
      <c r="A27" s="7" t="s">
        <v>33</v>
      </c>
      <c r="B27" s="7"/>
      <c r="C27" s="7"/>
      <c r="D27" s="7" t="str">
        <f t="shared" si="0"/>
        <v/>
      </c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8"/>
      <c r="Z27" s="32" t="s">
        <v>88</v>
      </c>
      <c r="AA27" s="1" t="s">
        <v>83</v>
      </c>
      <c r="AD27" s="1" t="s">
        <v>74</v>
      </c>
      <c r="AF27" s="1">
        <f>IF(D28&lt;&gt;"",D28,0)</f>
        <v>0</v>
      </c>
      <c r="AG27" s="33" t="e">
        <f t="shared" si="2"/>
        <v>#DIV/0!</v>
      </c>
      <c r="AH27" s="34" t="e">
        <f>AG27+AH26</f>
        <v>#DIV/0!</v>
      </c>
      <c r="AI27" s="1" t="s">
        <v>103</v>
      </c>
      <c r="AJ27" s="34" t="e">
        <f>AG27</f>
        <v>#DIV/0!</v>
      </c>
    </row>
    <row r="28" spans="1:38" x14ac:dyDescent="0.3">
      <c r="A28" s="7" t="s">
        <v>83</v>
      </c>
      <c r="B28" s="7"/>
      <c r="C28" s="7"/>
      <c r="D28" s="7" t="str">
        <f t="shared" si="0"/>
        <v/>
      </c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8"/>
      <c r="Z28" s="32" t="s">
        <v>14</v>
      </c>
      <c r="AA28" s="1" t="s">
        <v>84</v>
      </c>
      <c r="AD28" s="1" t="s">
        <v>74</v>
      </c>
      <c r="AF28" s="1">
        <f>IF(D29&lt;&gt;"",D29,0)</f>
        <v>0</v>
      </c>
      <c r="AG28" s="33" t="e">
        <f t="shared" si="2"/>
        <v>#DIV/0!</v>
      </c>
      <c r="AH28" s="34" t="e">
        <f t="shared" ref="AH28:AH29" si="8">AG28+AH27</f>
        <v>#DIV/0!</v>
      </c>
      <c r="AI28" s="1" t="s">
        <v>104</v>
      </c>
      <c r="AJ28" s="34" t="e">
        <f t="shared" ref="AJ28:AJ29" si="9">AG28</f>
        <v>#DIV/0!</v>
      </c>
    </row>
    <row r="29" spans="1:38" x14ac:dyDescent="0.3">
      <c r="A29" s="7" t="s">
        <v>84</v>
      </c>
      <c r="B29" s="7"/>
      <c r="C29" s="7"/>
      <c r="D29" s="7" t="str">
        <f t="shared" si="0"/>
        <v/>
      </c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8"/>
      <c r="Z29" s="32" t="s">
        <v>20</v>
      </c>
      <c r="AA29" s="25" t="s">
        <v>85</v>
      </c>
      <c r="AB29" s="25"/>
      <c r="AC29" s="25"/>
      <c r="AD29" s="25" t="s">
        <v>74</v>
      </c>
      <c r="AE29" s="25"/>
      <c r="AF29" s="25">
        <f>IF(D30&lt;&gt;"",D30,0)</f>
        <v>0</v>
      </c>
      <c r="AG29" s="38" t="e">
        <f t="shared" si="2"/>
        <v>#DIV/0!</v>
      </c>
      <c r="AH29" s="39" t="e">
        <f t="shared" si="8"/>
        <v>#DIV/0!</v>
      </c>
      <c r="AI29" s="1" t="s">
        <v>102</v>
      </c>
      <c r="AJ29" s="34" t="e">
        <f t="shared" si="9"/>
        <v>#DIV/0!</v>
      </c>
    </row>
    <row r="30" spans="1:38" x14ac:dyDescent="0.3">
      <c r="A30" s="7" t="s">
        <v>85</v>
      </c>
      <c r="B30" s="7"/>
      <c r="C30" s="7"/>
      <c r="D30" s="7" t="str">
        <f t="shared" si="0"/>
        <v/>
      </c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8"/>
      <c r="AE30" s="2" t="s">
        <v>86</v>
      </c>
      <c r="AF30" s="1">
        <f>IF(D26&lt;&gt;"",D26,0)</f>
        <v>0</v>
      </c>
      <c r="AG30" s="35" t="e">
        <f>SUM(AG3:AG25)</f>
        <v>#DIV/0!</v>
      </c>
    </row>
    <row r="31" spans="1:38" x14ac:dyDescent="0.3">
      <c r="A31" s="57"/>
      <c r="B31" s="57"/>
      <c r="C31" s="59" t="s">
        <v>69</v>
      </c>
      <c r="D31" s="59">
        <f t="shared" si="0"/>
        <v>0</v>
      </c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8"/>
      <c r="AE31" s="2" t="s">
        <v>69</v>
      </c>
      <c r="AF31" s="1">
        <f>IF(D31&lt;&gt;"",D31,0)</f>
        <v>0</v>
      </c>
      <c r="AG31" s="35" t="e">
        <f>SUM(AG26:AG29)</f>
        <v>#DIV/0!</v>
      </c>
      <c r="AI31" s="34"/>
    </row>
    <row r="32" spans="1:38" x14ac:dyDescent="0.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8"/>
      <c r="AE32" s="2"/>
      <c r="AG32" s="35"/>
    </row>
    <row r="33" spans="1:33" x14ac:dyDescent="0.3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8"/>
      <c r="AE33" s="2"/>
      <c r="AG33" s="35"/>
    </row>
    <row r="34" spans="1:33" x14ac:dyDescent="0.3">
      <c r="A34" s="57"/>
      <c r="B34" s="57"/>
      <c r="C34" s="57"/>
      <c r="D34" s="57"/>
      <c r="E34" s="57"/>
      <c r="F34" s="57"/>
      <c r="G34" s="66" t="s">
        <v>19</v>
      </c>
      <c r="H34" s="66"/>
      <c r="I34" s="57"/>
      <c r="J34" s="66" t="s">
        <v>17</v>
      </c>
      <c r="K34" s="66"/>
      <c r="L34" s="57"/>
      <c r="M34" s="66" t="s">
        <v>18</v>
      </c>
      <c r="N34" s="66"/>
      <c r="O34" s="66"/>
      <c r="P34" s="66"/>
      <c r="Q34" s="66"/>
      <c r="R34" s="57"/>
      <c r="S34" s="58"/>
    </row>
    <row r="35" spans="1:33" x14ac:dyDescent="0.3">
      <c r="A35" s="57"/>
      <c r="B35" s="57"/>
      <c r="C35" s="57"/>
      <c r="D35" s="57"/>
      <c r="E35" s="57"/>
      <c r="F35" s="57"/>
      <c r="G35" s="7" t="s">
        <v>2</v>
      </c>
      <c r="H35" s="46">
        <f>IF(NOT(ISNA(AS8)),AS8,0.062)</f>
        <v>6.2E-2</v>
      </c>
      <c r="I35" s="57"/>
      <c r="J35" s="7" t="s">
        <v>8</v>
      </c>
      <c r="K35" s="46">
        <f>(H35*H39)^0.5</f>
        <v>6.2E-2</v>
      </c>
      <c r="L35" s="57"/>
      <c r="M35" s="6" t="s">
        <v>1</v>
      </c>
      <c r="N35" s="44" t="e">
        <f>AJ3</f>
        <v>#DIV/0!</v>
      </c>
      <c r="O35" s="61"/>
      <c r="P35" s="7" t="s">
        <v>33</v>
      </c>
      <c r="Q35" s="45" t="e">
        <f>AJ26</f>
        <v>#DIV/0!</v>
      </c>
      <c r="R35" s="57"/>
      <c r="S35" s="58"/>
    </row>
    <row r="36" spans="1:33" x14ac:dyDescent="0.3">
      <c r="A36" s="57"/>
      <c r="B36" s="57"/>
      <c r="C36" s="57"/>
      <c r="D36" s="57"/>
      <c r="E36" s="57"/>
      <c r="F36" s="57"/>
      <c r="G36" s="7" t="s">
        <v>3</v>
      </c>
      <c r="H36" s="46">
        <f t="shared" ref="H36:H40" si="10">IF(NOT(ISNA(AS9)),AS9,0.062)</f>
        <v>6.2E-2</v>
      </c>
      <c r="I36" s="57"/>
      <c r="J36" s="7" t="s">
        <v>21</v>
      </c>
      <c r="K36" s="46">
        <f>(H39/H35)^0.5</f>
        <v>1</v>
      </c>
      <c r="L36" s="57"/>
      <c r="M36" s="7" t="s">
        <v>9</v>
      </c>
      <c r="N36" s="44" t="e">
        <f>AJ8</f>
        <v>#DIV/0!</v>
      </c>
      <c r="O36" s="61"/>
      <c r="P36" s="7" t="s">
        <v>83</v>
      </c>
      <c r="Q36" s="45" t="e">
        <f t="shared" ref="Q36:Q38" si="11">AJ27</f>
        <v>#DIV/0!</v>
      </c>
      <c r="R36" s="57"/>
      <c r="S36" s="58"/>
    </row>
    <row r="37" spans="1:33" x14ac:dyDescent="0.3">
      <c r="A37" s="57"/>
      <c r="B37" s="57"/>
      <c r="C37" s="57"/>
      <c r="D37" s="57"/>
      <c r="E37" s="57"/>
      <c r="F37" s="57"/>
      <c r="G37" s="7" t="s">
        <v>4</v>
      </c>
      <c r="H37" s="46">
        <f t="shared" si="10"/>
        <v>6.2E-2</v>
      </c>
      <c r="I37" s="57"/>
      <c r="J37" s="7" t="s">
        <v>22</v>
      </c>
      <c r="K37" s="46" t="e">
        <f>LOG(K35/H37)/LOG(K36)</f>
        <v>#DIV/0!</v>
      </c>
      <c r="L37" s="57"/>
      <c r="M37" s="7" t="s">
        <v>10</v>
      </c>
      <c r="N37" s="44" t="e">
        <f>AJ17</f>
        <v>#DIV/0!</v>
      </c>
      <c r="O37" s="61"/>
      <c r="P37" s="7" t="s">
        <v>84</v>
      </c>
      <c r="Q37" s="45" t="e">
        <f t="shared" si="11"/>
        <v>#DIV/0!</v>
      </c>
      <c r="R37" s="57"/>
      <c r="S37" s="58"/>
    </row>
    <row r="38" spans="1:33" x14ac:dyDescent="0.3">
      <c r="A38" s="57"/>
      <c r="B38" s="57"/>
      <c r="C38" s="57"/>
      <c r="D38" s="57"/>
      <c r="E38" s="57"/>
      <c r="F38" s="57"/>
      <c r="G38" s="7" t="s">
        <v>5</v>
      </c>
      <c r="H38" s="46">
        <f t="shared" si="10"/>
        <v>6.2E-2</v>
      </c>
      <c r="I38" s="57"/>
      <c r="J38" s="61"/>
      <c r="K38" s="61"/>
      <c r="L38" s="57"/>
      <c r="M38" s="7" t="s">
        <v>11</v>
      </c>
      <c r="N38" s="44" t="e">
        <f>AJ21</f>
        <v>#DIV/0!</v>
      </c>
      <c r="O38" s="61"/>
      <c r="P38" s="7" t="s">
        <v>85</v>
      </c>
      <c r="Q38" s="45" t="e">
        <f t="shared" si="11"/>
        <v>#DIV/0!</v>
      </c>
      <c r="R38" s="57"/>
      <c r="S38" s="58"/>
    </row>
    <row r="39" spans="1:33" s="21" customFormat="1" x14ac:dyDescent="0.3">
      <c r="A39" s="61"/>
      <c r="B39" s="61"/>
      <c r="C39" s="61"/>
      <c r="D39" s="61"/>
      <c r="E39" s="61"/>
      <c r="F39" s="61"/>
      <c r="G39" s="7" t="s">
        <v>6</v>
      </c>
      <c r="H39" s="46">
        <f t="shared" si="10"/>
        <v>6.2E-2</v>
      </c>
      <c r="I39" s="61"/>
      <c r="J39" s="61"/>
      <c r="K39" s="61"/>
      <c r="L39" s="61"/>
      <c r="M39" s="7" t="s">
        <v>12</v>
      </c>
      <c r="N39" s="44" t="e">
        <f>AJ25</f>
        <v>#DIV/0!</v>
      </c>
      <c r="O39" s="61"/>
      <c r="P39" s="61"/>
      <c r="Q39" s="61"/>
      <c r="R39" s="61"/>
      <c r="S39" s="58"/>
      <c r="Z39" s="32"/>
    </row>
    <row r="40" spans="1:33" s="21" customFormat="1" x14ac:dyDescent="0.3">
      <c r="A40" s="61"/>
      <c r="B40" s="61"/>
      <c r="C40" s="61"/>
      <c r="D40" s="61"/>
      <c r="E40" s="61"/>
      <c r="F40" s="61"/>
      <c r="G40" s="7" t="s">
        <v>7</v>
      </c>
      <c r="H40" s="46">
        <f t="shared" si="10"/>
        <v>6.2E-2</v>
      </c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58"/>
      <c r="Z40" s="32"/>
    </row>
    <row r="41" spans="1:33" s="41" customFormat="1" ht="13.5" thickBot="1" x14ac:dyDescent="0.35">
      <c r="A41" s="64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5"/>
      <c r="Z41" s="42"/>
    </row>
    <row r="42" spans="1:33" s="21" customFormat="1" x14ac:dyDescent="0.3">
      <c r="S42" s="23"/>
      <c r="Z42" s="32"/>
    </row>
    <row r="43" spans="1:33" s="21" customFormat="1" x14ac:dyDescent="0.3">
      <c r="A43" s="1"/>
      <c r="B43" s="1"/>
      <c r="C43" s="1"/>
      <c r="D43" s="1"/>
      <c r="E43" s="1"/>
      <c r="F43" s="1"/>
      <c r="G43" s="1"/>
      <c r="H43" s="67" t="s">
        <v>113</v>
      </c>
      <c r="I43" s="67"/>
      <c r="J43" s="67"/>
      <c r="K43" s="67"/>
      <c r="L43" s="67"/>
      <c r="M43" s="67"/>
      <c r="N43" s="67"/>
      <c r="O43" s="67"/>
      <c r="Q43" s="66"/>
      <c r="R43" s="66"/>
      <c r="S43" s="23"/>
      <c r="Z43" s="32"/>
    </row>
    <row r="44" spans="1:33" s="21" customFormat="1" x14ac:dyDescent="0.3">
      <c r="A44" s="1"/>
      <c r="B44" s="1" t="s">
        <v>116</v>
      </c>
      <c r="C44" s="1" t="s">
        <v>94</v>
      </c>
      <c r="E44" s="30"/>
      <c r="F44" s="28"/>
      <c r="G44" s="29"/>
      <c r="H44" s="47" t="s">
        <v>82</v>
      </c>
      <c r="I44" s="48" t="s">
        <v>75</v>
      </c>
      <c r="J44" s="49" t="s">
        <v>76</v>
      </c>
      <c r="K44" s="50" t="s">
        <v>77</v>
      </c>
      <c r="L44" s="54" t="s">
        <v>78</v>
      </c>
      <c r="M44" s="51" t="s">
        <v>79</v>
      </c>
      <c r="N44" s="52" t="s">
        <v>80</v>
      </c>
      <c r="O44" s="53" t="s">
        <v>81</v>
      </c>
      <c r="Q44" s="66"/>
      <c r="R44" s="66"/>
      <c r="S44" s="23"/>
      <c r="T44" s="1" t="s">
        <v>95</v>
      </c>
      <c r="U44" s="2" t="str">
        <f>B45&amp;" Pebble Count, "&amp;C45&amp;", "&amp;B49</f>
        <v>Profile/XS Pebble Count, Reach/XS NAME, As-Built</v>
      </c>
      <c r="Z44" s="32"/>
    </row>
    <row r="45" spans="1:33" s="21" customFormat="1" x14ac:dyDescent="0.3">
      <c r="A45" s="1"/>
      <c r="B45" s="55" t="s">
        <v>114</v>
      </c>
      <c r="C45" s="55" t="s">
        <v>115</v>
      </c>
      <c r="E45" s="31" t="s">
        <v>24</v>
      </c>
      <c r="F45" s="25" t="s">
        <v>34</v>
      </c>
      <c r="G45" s="29" t="s">
        <v>57</v>
      </c>
      <c r="H45" s="36"/>
      <c r="I45" s="3"/>
      <c r="J45" s="3"/>
      <c r="K45" s="3"/>
      <c r="L45" s="3"/>
      <c r="M45" s="3"/>
      <c r="N45" s="3"/>
      <c r="O45" s="3"/>
      <c r="Q45" s="66"/>
      <c r="R45" s="66"/>
      <c r="S45" s="23"/>
      <c r="Z45" s="32"/>
    </row>
    <row r="46" spans="1:33" s="25" customFormat="1" x14ac:dyDescent="0.3">
      <c r="A46" s="1"/>
      <c r="B46" s="1"/>
      <c r="C46" s="1"/>
      <c r="D46" s="1"/>
      <c r="E46" s="32" t="s">
        <v>25</v>
      </c>
      <c r="F46" s="1" t="s">
        <v>35</v>
      </c>
      <c r="G46" s="23" t="s">
        <v>58</v>
      </c>
      <c r="H46" s="22"/>
      <c r="I46" s="24"/>
      <c r="J46" s="24"/>
      <c r="K46" s="24"/>
      <c r="L46" s="24"/>
      <c r="M46" s="24"/>
      <c r="N46" s="24"/>
      <c r="O46" s="24"/>
      <c r="P46" s="21"/>
      <c r="Q46" s="21"/>
      <c r="R46" s="21"/>
      <c r="S46" s="23"/>
      <c r="Z46" s="31"/>
    </row>
    <row r="47" spans="1:33" s="21" customFormat="1" x14ac:dyDescent="0.3">
      <c r="A47" s="1"/>
      <c r="B47" s="1"/>
      <c r="C47" s="1"/>
      <c r="D47" s="1"/>
      <c r="E47" s="32" t="s">
        <v>26</v>
      </c>
      <c r="F47" s="1" t="s">
        <v>36</v>
      </c>
      <c r="G47" s="23" t="s">
        <v>59</v>
      </c>
      <c r="H47" s="22"/>
      <c r="I47" s="24"/>
      <c r="J47" s="24"/>
      <c r="K47" s="24"/>
      <c r="L47" s="24"/>
      <c r="M47" s="24"/>
      <c r="N47" s="24"/>
      <c r="O47" s="24"/>
      <c r="S47" s="23"/>
      <c r="Z47" s="32"/>
    </row>
    <row r="48" spans="1:33" s="21" customFormat="1" x14ac:dyDescent="0.3">
      <c r="B48" s="1" t="s">
        <v>112</v>
      </c>
      <c r="C48" s="1"/>
      <c r="D48" s="1"/>
      <c r="E48" s="32" t="s">
        <v>27</v>
      </c>
      <c r="F48" s="1" t="s">
        <v>37</v>
      </c>
      <c r="G48" s="23" t="s">
        <v>60</v>
      </c>
      <c r="H48" s="22"/>
      <c r="I48" s="24"/>
      <c r="J48" s="24"/>
      <c r="K48" s="24"/>
      <c r="L48" s="24"/>
      <c r="M48" s="24"/>
      <c r="N48" s="24"/>
      <c r="O48" s="24"/>
      <c r="S48" s="23"/>
      <c r="Z48" s="32"/>
    </row>
    <row r="49" spans="1:26" s="21" customFormat="1" x14ac:dyDescent="0.3">
      <c r="A49" s="1"/>
      <c r="B49" s="56" t="str">
        <f>INDEX(currentYear,1)</f>
        <v>As-Built</v>
      </c>
      <c r="C49" s="1"/>
      <c r="D49" s="1"/>
      <c r="E49" s="32" t="s">
        <v>28</v>
      </c>
      <c r="F49" s="1" t="s">
        <v>38</v>
      </c>
      <c r="G49" s="23" t="s">
        <v>61</v>
      </c>
      <c r="H49" s="22"/>
      <c r="I49" s="24"/>
      <c r="J49" s="24"/>
      <c r="K49" s="24"/>
      <c r="L49" s="24"/>
      <c r="M49" s="24"/>
      <c r="N49" s="24"/>
      <c r="O49" s="24"/>
      <c r="S49" s="23"/>
      <c r="Z49" s="32"/>
    </row>
    <row r="50" spans="1:26" x14ac:dyDescent="0.3">
      <c r="E50" s="31" t="s">
        <v>29</v>
      </c>
      <c r="F50" s="25" t="s">
        <v>39</v>
      </c>
      <c r="G50" s="26" t="s">
        <v>58</v>
      </c>
      <c r="H50" s="27"/>
      <c r="I50" s="4"/>
      <c r="J50" s="4"/>
      <c r="K50" s="4"/>
      <c r="L50" s="4"/>
      <c r="M50" s="4"/>
      <c r="N50" s="4"/>
      <c r="O50" s="4"/>
    </row>
    <row r="51" spans="1:26" x14ac:dyDescent="0.3">
      <c r="E51" s="32" t="s">
        <v>25</v>
      </c>
      <c r="F51" s="1" t="s">
        <v>40</v>
      </c>
      <c r="G51" s="23"/>
      <c r="H51" s="22"/>
      <c r="I51" s="24"/>
      <c r="J51" s="24"/>
      <c r="K51" s="24"/>
      <c r="L51" s="24"/>
      <c r="M51" s="24"/>
      <c r="N51" s="24"/>
      <c r="O51" s="24"/>
    </row>
    <row r="52" spans="1:26" x14ac:dyDescent="0.3">
      <c r="E52" s="32" t="s">
        <v>26</v>
      </c>
      <c r="F52" s="1" t="s">
        <v>41</v>
      </c>
      <c r="G52" s="23" t="s">
        <v>62</v>
      </c>
      <c r="H52" s="22"/>
      <c r="I52" s="24"/>
      <c r="J52" s="24"/>
      <c r="K52" s="24"/>
      <c r="L52" s="24"/>
      <c r="M52" s="24"/>
      <c r="N52" s="24"/>
      <c r="O52" s="24"/>
    </row>
    <row r="53" spans="1:26" x14ac:dyDescent="0.3">
      <c r="E53" s="32" t="s">
        <v>26</v>
      </c>
      <c r="F53" s="1" t="s">
        <v>42</v>
      </c>
      <c r="G53" s="23" t="s">
        <v>16</v>
      </c>
      <c r="H53" s="22"/>
      <c r="I53" s="24"/>
      <c r="J53" s="24"/>
      <c r="K53" s="24"/>
      <c r="L53" s="24"/>
      <c r="M53" s="24"/>
      <c r="N53" s="24"/>
      <c r="O53" s="24"/>
    </row>
    <row r="54" spans="1:26" x14ac:dyDescent="0.3">
      <c r="E54" s="32" t="s">
        <v>27</v>
      </c>
      <c r="F54" s="1" t="s">
        <v>43</v>
      </c>
      <c r="G54" s="23" t="s">
        <v>59</v>
      </c>
      <c r="H54" s="22"/>
      <c r="I54" s="24"/>
      <c r="J54" s="24"/>
      <c r="K54" s="24"/>
      <c r="L54" s="24"/>
      <c r="M54" s="24"/>
      <c r="N54" s="24"/>
      <c r="O54" s="24"/>
    </row>
    <row r="55" spans="1:26" x14ac:dyDescent="0.3">
      <c r="E55" s="32" t="s">
        <v>27</v>
      </c>
      <c r="F55" s="1" t="s">
        <v>44</v>
      </c>
      <c r="G55" s="23" t="s">
        <v>63</v>
      </c>
      <c r="H55" s="22"/>
      <c r="I55" s="24"/>
      <c r="J55" s="24"/>
      <c r="K55" s="24"/>
      <c r="L55" s="24"/>
      <c r="M55" s="24"/>
      <c r="N55" s="24"/>
      <c r="O55" s="24"/>
    </row>
    <row r="56" spans="1:26" x14ac:dyDescent="0.3">
      <c r="E56" s="32" t="s">
        <v>28</v>
      </c>
      <c r="F56" s="1" t="s">
        <v>45</v>
      </c>
      <c r="G56" s="23" t="s">
        <v>64</v>
      </c>
      <c r="H56" s="22"/>
      <c r="I56" s="24"/>
      <c r="J56" s="24"/>
      <c r="K56" s="24"/>
      <c r="L56" s="24"/>
      <c r="M56" s="24"/>
      <c r="N56" s="24"/>
      <c r="O56" s="24"/>
    </row>
    <row r="57" spans="1:26" x14ac:dyDescent="0.3">
      <c r="E57" s="32" t="s">
        <v>28</v>
      </c>
      <c r="F57" s="1" t="s">
        <v>46</v>
      </c>
      <c r="G57" s="23" t="s">
        <v>65</v>
      </c>
      <c r="H57" s="22"/>
      <c r="I57" s="24"/>
      <c r="J57" s="24"/>
      <c r="K57" s="24"/>
      <c r="L57" s="24"/>
      <c r="M57" s="24"/>
      <c r="N57" s="24"/>
      <c r="O57" s="24"/>
    </row>
    <row r="58" spans="1:26" x14ac:dyDescent="0.3">
      <c r="E58" s="32" t="s">
        <v>29</v>
      </c>
      <c r="F58" s="1" t="s">
        <v>47</v>
      </c>
      <c r="G58" s="23" t="s">
        <v>58</v>
      </c>
      <c r="H58" s="22"/>
      <c r="I58" s="24"/>
      <c r="J58" s="24"/>
      <c r="K58" s="24"/>
      <c r="L58" s="24"/>
      <c r="M58" s="24"/>
      <c r="N58" s="24"/>
      <c r="O58" s="24"/>
    </row>
    <row r="59" spans="1:26" x14ac:dyDescent="0.3">
      <c r="E59" s="31" t="s">
        <v>29</v>
      </c>
      <c r="F59" s="25" t="s">
        <v>48</v>
      </c>
      <c r="G59" s="26"/>
      <c r="H59" s="27"/>
      <c r="I59" s="4"/>
      <c r="J59" s="4"/>
      <c r="K59" s="4"/>
      <c r="L59" s="4"/>
      <c r="M59" s="4"/>
      <c r="N59" s="4"/>
      <c r="O59" s="4"/>
    </row>
    <row r="60" spans="1:26" x14ac:dyDescent="0.3">
      <c r="E60" s="32" t="s">
        <v>30</v>
      </c>
      <c r="F60" s="1" t="s">
        <v>49</v>
      </c>
      <c r="G60" s="23" t="s">
        <v>66</v>
      </c>
      <c r="H60" s="22"/>
      <c r="I60" s="24"/>
      <c r="J60" s="24"/>
      <c r="K60" s="24"/>
      <c r="L60" s="24"/>
      <c r="M60" s="24"/>
      <c r="N60" s="24"/>
      <c r="O60" s="24"/>
    </row>
    <row r="61" spans="1:26" x14ac:dyDescent="0.3">
      <c r="E61" s="32" t="s">
        <v>30</v>
      </c>
      <c r="F61" s="1" t="s">
        <v>50</v>
      </c>
      <c r="G61" s="23" t="s">
        <v>67</v>
      </c>
      <c r="H61" s="22"/>
      <c r="I61" s="24"/>
      <c r="J61" s="24"/>
      <c r="K61" s="24"/>
      <c r="L61" s="24"/>
      <c r="M61" s="24"/>
      <c r="N61" s="24"/>
      <c r="O61" s="24"/>
    </row>
    <row r="62" spans="1:26" x14ac:dyDescent="0.3">
      <c r="E62" s="32" t="s">
        <v>31</v>
      </c>
      <c r="F62" s="1" t="s">
        <v>51</v>
      </c>
      <c r="G62" s="23" t="s">
        <v>68</v>
      </c>
      <c r="H62" s="22"/>
      <c r="I62" s="24"/>
      <c r="J62" s="24"/>
      <c r="K62" s="24"/>
      <c r="L62" s="24"/>
      <c r="M62" s="24"/>
      <c r="N62" s="24"/>
      <c r="O62" s="24"/>
    </row>
    <row r="63" spans="1:26" x14ac:dyDescent="0.3">
      <c r="E63" s="31" t="s">
        <v>31</v>
      </c>
      <c r="F63" s="25" t="s">
        <v>52</v>
      </c>
      <c r="G63" s="26" t="s">
        <v>65</v>
      </c>
      <c r="H63" s="27"/>
      <c r="I63" s="4"/>
      <c r="J63" s="4"/>
      <c r="K63" s="4"/>
      <c r="L63" s="4"/>
      <c r="M63" s="4"/>
      <c r="N63" s="4"/>
      <c r="O63" s="4"/>
    </row>
    <row r="64" spans="1:26" x14ac:dyDescent="0.3">
      <c r="E64" s="32" t="s">
        <v>30</v>
      </c>
      <c r="F64" s="1" t="s">
        <v>53</v>
      </c>
      <c r="G64" s="23" t="s">
        <v>68</v>
      </c>
      <c r="H64" s="22"/>
      <c r="I64" s="24"/>
      <c r="J64" s="24"/>
      <c r="K64" s="24"/>
      <c r="L64" s="24"/>
      <c r="M64" s="24"/>
      <c r="N64" s="24"/>
      <c r="O64" s="24"/>
    </row>
    <row r="65" spans="5:15" x14ac:dyDescent="0.3">
      <c r="E65" s="32" t="s">
        <v>30</v>
      </c>
      <c r="F65" s="1" t="s">
        <v>54</v>
      </c>
      <c r="G65" s="23" t="s">
        <v>65</v>
      </c>
      <c r="H65" s="22"/>
      <c r="I65" s="24"/>
      <c r="J65" s="24"/>
      <c r="K65" s="24"/>
      <c r="L65" s="24"/>
      <c r="M65" s="24"/>
      <c r="N65" s="24"/>
      <c r="O65" s="24"/>
    </row>
    <row r="66" spans="5:15" x14ac:dyDescent="0.3">
      <c r="E66" s="32" t="s">
        <v>27</v>
      </c>
      <c r="F66" s="1" t="s">
        <v>55</v>
      </c>
      <c r="G66" s="23" t="s">
        <v>61</v>
      </c>
      <c r="H66" s="22"/>
      <c r="I66" s="24"/>
      <c r="J66" s="24"/>
      <c r="K66" s="24"/>
      <c r="L66" s="24"/>
      <c r="M66" s="24"/>
      <c r="N66" s="24"/>
      <c r="O66" s="24"/>
    </row>
    <row r="67" spans="5:15" x14ac:dyDescent="0.3">
      <c r="E67" s="31" t="s">
        <v>32</v>
      </c>
      <c r="F67" s="25" t="s">
        <v>56</v>
      </c>
      <c r="G67" s="26" t="s">
        <v>16</v>
      </c>
      <c r="H67" s="27"/>
      <c r="I67" s="4"/>
      <c r="J67" s="4"/>
      <c r="K67" s="4"/>
      <c r="L67" s="4"/>
      <c r="M67" s="4"/>
      <c r="N67" s="4"/>
      <c r="O67" s="4"/>
    </row>
    <row r="68" spans="5:15" x14ac:dyDescent="0.3">
      <c r="E68" s="30"/>
      <c r="G68" s="23" t="s">
        <v>86</v>
      </c>
      <c r="H68" s="37">
        <f>SUM(H45:H67)</f>
        <v>0</v>
      </c>
      <c r="I68" s="43">
        <f t="shared" ref="I68:O68" si="12">SUM(I45:I67)</f>
        <v>0</v>
      </c>
      <c r="J68" s="43">
        <f t="shared" si="12"/>
        <v>0</v>
      </c>
      <c r="K68" s="43">
        <f t="shared" si="12"/>
        <v>0</v>
      </c>
      <c r="L68" s="43">
        <f t="shared" si="12"/>
        <v>0</v>
      </c>
      <c r="M68" s="43">
        <f t="shared" si="12"/>
        <v>0</v>
      </c>
      <c r="N68" s="43">
        <f t="shared" si="12"/>
        <v>0</v>
      </c>
      <c r="O68" s="43">
        <f t="shared" si="12"/>
        <v>0</v>
      </c>
    </row>
    <row r="69" spans="5:15" x14ac:dyDescent="0.3">
      <c r="E69" s="30" t="s">
        <v>33</v>
      </c>
      <c r="F69" s="28"/>
      <c r="G69" s="29"/>
      <c r="H69" s="36"/>
      <c r="I69" s="3"/>
      <c r="J69" s="3"/>
      <c r="K69" s="3"/>
      <c r="L69" s="3"/>
      <c r="M69" s="3"/>
      <c r="N69" s="3"/>
      <c r="O69" s="3"/>
    </row>
    <row r="70" spans="5:15" x14ac:dyDescent="0.3">
      <c r="E70" s="30" t="s">
        <v>83</v>
      </c>
      <c r="F70" s="28"/>
      <c r="G70" s="29"/>
      <c r="H70" s="36"/>
      <c r="I70" s="3"/>
      <c r="J70" s="3"/>
      <c r="K70" s="3"/>
      <c r="L70" s="3"/>
      <c r="M70" s="3"/>
      <c r="N70" s="3"/>
      <c r="O70" s="3"/>
    </row>
    <row r="71" spans="5:15" x14ac:dyDescent="0.3">
      <c r="E71" s="30" t="s">
        <v>84</v>
      </c>
      <c r="F71" s="28"/>
      <c r="G71" s="29"/>
      <c r="H71" s="36"/>
      <c r="I71" s="3"/>
      <c r="J71" s="3"/>
      <c r="K71" s="3"/>
      <c r="L71" s="3"/>
      <c r="M71" s="3"/>
      <c r="N71" s="3"/>
      <c r="O71" s="3"/>
    </row>
    <row r="72" spans="5:15" x14ac:dyDescent="0.3">
      <c r="E72" s="30" t="s">
        <v>85</v>
      </c>
      <c r="F72" s="28"/>
      <c r="G72" s="29"/>
      <c r="H72" s="36"/>
      <c r="I72" s="3"/>
      <c r="J72" s="3"/>
      <c r="K72" s="3"/>
      <c r="L72" s="3"/>
      <c r="M72" s="3"/>
      <c r="N72" s="3"/>
      <c r="O72" s="3"/>
    </row>
    <row r="73" spans="5:15" x14ac:dyDescent="0.3">
      <c r="G73" s="1" t="s">
        <v>69</v>
      </c>
      <c r="H73" s="20">
        <f>SUM(H68:H72)</f>
        <v>0</v>
      </c>
      <c r="I73" s="20">
        <f t="shared" ref="I73:O73" si="13">SUM(I68:I72)</f>
        <v>0</v>
      </c>
      <c r="J73" s="20">
        <f t="shared" si="13"/>
        <v>0</v>
      </c>
      <c r="K73" s="20">
        <f t="shared" si="13"/>
        <v>0</v>
      </c>
      <c r="L73" s="20">
        <f t="shared" si="13"/>
        <v>0</v>
      </c>
      <c r="M73" s="20">
        <f t="shared" si="13"/>
        <v>0</v>
      </c>
      <c r="N73" s="20">
        <f t="shared" si="13"/>
        <v>0</v>
      </c>
      <c r="O73" s="20">
        <f t="shared" si="13"/>
        <v>0</v>
      </c>
    </row>
  </sheetData>
  <mergeCells count="5">
    <mergeCell ref="G34:H34"/>
    <mergeCell ref="J34:K34"/>
    <mergeCell ref="M34:Q34"/>
    <mergeCell ref="H43:O43"/>
    <mergeCell ref="Q43:R45"/>
  </mergeCells>
  <conditionalFormatting sqref="H35:H40">
    <cfRule type="expression" dxfId="0" priority="2">
      <formula>ISNA(AS8)</formula>
    </cfRule>
  </conditionalFormatting>
  <pageMargins left="0.7" right="0.7" top="0.75" bottom="0.75" header="0.3" footer="0.3"/>
  <pageSetup scale="45" orientation="portrait" r:id="rId1"/>
  <colBreaks count="1" manualBreakCount="1">
    <brk id="19" max="4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173" r:id="rId4" name="Button 5">
              <controlPr defaultSize="0" print="0" autoFill="0" autoPict="0" macro="[0]!PebbleYearMove">
                <anchor moveWithCells="1">
                  <from>
                    <xdr:col>16</xdr:col>
                    <xdr:colOff>120650</xdr:colOff>
                    <xdr:row>42</xdr:row>
                    <xdr:rowOff>63500</xdr:rowOff>
                  </from>
                  <to>
                    <xdr:col>17</xdr:col>
                    <xdr:colOff>482600</xdr:colOff>
                    <xdr:row>44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CountA</vt:lpstr>
      <vt:lpstr>CountA!allTotal</vt:lpstr>
      <vt:lpstr>CountA!cumFrac</vt:lpstr>
      <vt:lpstr>CountA!currentYear</vt:lpstr>
      <vt:lpstr>CountA!frac</vt:lpstr>
      <vt:lpstr>CountA!partCount</vt:lpstr>
      <vt:lpstr>CountA!particleTotal</vt:lpstr>
      <vt:lpstr>CountA!Print_Area</vt:lpstr>
      <vt:lpstr>CountA!upperBound</vt:lpstr>
    </vt:vector>
  </TitlesOfParts>
  <Company>ODNR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RRSS for Transit</dc:title>
  <dc:subject>STREAM</dc:subject>
  <dc:creator>ODNR-Division of Soil &amp; Water</dc:creator>
  <cp:lastModifiedBy>Sky Jones</cp:lastModifiedBy>
  <cp:lastPrinted>2005-02-03T13:41:13Z</cp:lastPrinted>
  <dcterms:created xsi:type="dcterms:W3CDTF">2002-08-07T02:42:31Z</dcterms:created>
  <dcterms:modified xsi:type="dcterms:W3CDTF">2019-05-17T20:14:38Z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-268225302</vt:i4>
  </property>
  <property fmtid="{D5CDD505-2E9C-101B-9397-08002B2CF9AE}" pid="3" name="_EmailSubject">
    <vt:lpwstr>Six POints</vt:lpwstr>
  </property>
  <property fmtid="{D5CDD505-2E9C-101B-9397-08002B2CF9AE}" pid="4" name="_AuthorEmail">
    <vt:lpwstr>rbaker@kci.com</vt:lpwstr>
  </property>
  <property fmtid="{D5CDD505-2E9C-101B-9397-08002B2CF9AE}" pid="5" name="_AuthorEmailDisplayName">
    <vt:lpwstr>Rachele Baker </vt:lpwstr>
  </property>
  <property fmtid="{D5CDD505-2E9C-101B-9397-08002B2CF9AE}" pid="6" name="_ReviewingToolsShownOnce">
    <vt:lpwstr/>
  </property>
</Properties>
</file>