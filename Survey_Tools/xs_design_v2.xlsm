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10" windowWidth="14810" windowHeight="8010" firstSheet="1" activeTab="3"/>
  </bookViews>
  <sheets>
    <sheet name="Particle_Entrainment" sheetId="16" state="hidden" r:id="rId1"/>
    <sheet name="Rosgen_Lookups" sheetId="18" r:id="rId2"/>
    <sheet name="Rosgen_Copy" sheetId="19" r:id="rId3"/>
    <sheet name="XS" sheetId="11" r:id="rId4"/>
    <sheet name="XS_wBench" sheetId="17" r:id="rId5"/>
  </sheets>
  <calcPr calcId="152511"/>
</workbook>
</file>

<file path=xl/calcChain.xml><?xml version="1.0" encoding="utf-8"?>
<calcChain xmlns="http://schemas.openxmlformats.org/spreadsheetml/2006/main">
  <c r="E3" i="11" l="1"/>
  <c r="B23" i="18"/>
  <c r="B28" i="17" l="1"/>
  <c r="I13" i="17" l="1"/>
  <c r="I14" i="17"/>
  <c r="I15" i="17"/>
  <c r="I6" i="17"/>
  <c r="I11" i="17"/>
  <c r="I10" i="17"/>
  <c r="I7" i="17"/>
  <c r="F7" i="17" s="1"/>
  <c r="F6" i="17"/>
  <c r="F9" i="17"/>
  <c r="F10" i="17"/>
  <c r="F11" i="17"/>
  <c r="F14" i="17"/>
  <c r="B29" i="17"/>
  <c r="B20" i="17"/>
  <c r="I19" i="17" s="1"/>
  <c r="K19" i="17" s="1"/>
  <c r="F15" i="17"/>
  <c r="F13" i="17"/>
  <c r="I12" i="17"/>
  <c r="F12" i="17" s="1"/>
  <c r="I5" i="17"/>
  <c r="F5" i="17" s="1"/>
  <c r="S4" i="17"/>
  <c r="A30" i="17" s="1"/>
  <c r="I4" i="17"/>
  <c r="F4" i="17" s="1"/>
  <c r="I3" i="17"/>
  <c r="I2" i="17"/>
  <c r="H2" i="17"/>
  <c r="H3" i="17" s="1"/>
  <c r="H4" i="17" s="1"/>
  <c r="E4" i="17" s="1"/>
  <c r="G3" i="17" l="1"/>
  <c r="F8" i="17"/>
  <c r="F3" i="17"/>
  <c r="G2" i="17"/>
  <c r="E3" i="17"/>
  <c r="B21" i="17"/>
  <c r="H13" i="17" s="1"/>
  <c r="H14" i="17" s="1"/>
  <c r="H15" i="17" s="1"/>
  <c r="S4" i="11"/>
  <c r="A23" i="11" s="1"/>
  <c r="H5" i="17" l="1"/>
  <c r="B21" i="11"/>
  <c r="B22" i="11" s="1"/>
  <c r="B13" i="11"/>
  <c r="F7" i="11"/>
  <c r="E5" i="17" l="1"/>
  <c r="G4" i="17"/>
  <c r="G13" i="17"/>
  <c r="E14" i="17"/>
  <c r="H8" i="17"/>
  <c r="B14" i="11"/>
  <c r="I11" i="11"/>
  <c r="I10" i="11"/>
  <c r="I9" i="11"/>
  <c r="I8" i="11"/>
  <c r="F8" i="11" s="1"/>
  <c r="I5" i="11"/>
  <c r="I4" i="11"/>
  <c r="I3" i="11"/>
  <c r="I2" i="11"/>
  <c r="H2" i="11"/>
  <c r="H3" i="11" s="1"/>
  <c r="E15" i="17" l="1"/>
  <c r="G14" i="17"/>
  <c r="H7" i="17"/>
  <c r="E8" i="17" s="1"/>
  <c r="H9" i="17"/>
  <c r="H4" i="11"/>
  <c r="E4" i="11" s="1"/>
  <c r="F3" i="11"/>
  <c r="F9" i="11"/>
  <c r="F4" i="11"/>
  <c r="F10" i="11"/>
  <c r="F5" i="11"/>
  <c r="F6" i="11"/>
  <c r="F11" i="11"/>
  <c r="G2" i="11"/>
  <c r="G7" i="17" l="1"/>
  <c r="H10" i="17"/>
  <c r="G8" i="17"/>
  <c r="E9" i="17"/>
  <c r="H6" i="17"/>
  <c r="E7" i="17" s="1"/>
  <c r="H12" i="17"/>
  <c r="G3" i="11"/>
  <c r="I17" i="11"/>
  <c r="K17" i="11" s="1"/>
  <c r="H9" i="11"/>
  <c r="H5" i="11"/>
  <c r="G6" i="17" l="1"/>
  <c r="E13" i="17"/>
  <c r="G12" i="17"/>
  <c r="G5" i="17"/>
  <c r="E6" i="17"/>
  <c r="E10" i="17"/>
  <c r="G9" i="17"/>
  <c r="H11" i="17"/>
  <c r="E12" i="17" s="1"/>
  <c r="B19" i="17"/>
  <c r="H6" i="11"/>
  <c r="E6" i="11" s="1"/>
  <c r="E5" i="11"/>
  <c r="H10" i="11"/>
  <c r="E10" i="11" s="1"/>
  <c r="G4" i="11"/>
  <c r="B23" i="17" l="1"/>
  <c r="G10" i="17"/>
  <c r="E11" i="17"/>
  <c r="G11" i="17"/>
  <c r="B24" i="17"/>
  <c r="B26" i="17" s="1"/>
  <c r="B27" i="17" s="1"/>
  <c r="I21" i="17" s="1"/>
  <c r="K21" i="17" s="1"/>
  <c r="B25" i="17"/>
  <c r="I18" i="17"/>
  <c r="K18" i="17" s="1"/>
  <c r="H7" i="11"/>
  <c r="G5" i="11"/>
  <c r="H11" i="11"/>
  <c r="G9" i="11"/>
  <c r="I20" i="17" l="1"/>
  <c r="K20" i="17" s="1"/>
  <c r="B22" i="17"/>
  <c r="E7" i="11"/>
  <c r="H8" i="11"/>
  <c r="B12" i="11" s="1"/>
  <c r="G10" i="11"/>
  <c r="E11" i="11"/>
  <c r="G6" i="11"/>
  <c r="E8" i="11" l="1"/>
  <c r="B18" i="11"/>
  <c r="G8" i="11"/>
  <c r="G7" i="11"/>
  <c r="B16" i="11" s="1"/>
  <c r="E9" i="11"/>
  <c r="B17" i="11" l="1"/>
  <c r="B19" i="11" s="1"/>
  <c r="B20" i="11" s="1"/>
  <c r="I19" i="11" s="1"/>
  <c r="K19" i="11" s="1"/>
  <c r="I16" i="11"/>
  <c r="K16" i="11" s="1"/>
  <c r="B15" i="11"/>
  <c r="I18" i="11"/>
  <c r="K18" i="11" s="1"/>
</calcChain>
</file>

<file path=xl/comments1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The H:V ratio for the left channel bank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The H:V ratio for the right channel bank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The maximum channel depth at bankfull flow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The width of the bottom of the channel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The width of the floodplain divided by the bankfull width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The H:V of the terrace slopes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Manning's n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Average slope of the water surface in the channel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The total length of the channel divided by the straight-line distance between its beginning and end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Whether the channel is single- or multi-threaded
Type "Single" or "Multi"
Multi discretely forces entrenchment ratio to 2.2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The dominant bed material
Acceptable values:
Bedrock
Boulders
Cobble
Gravel
Sand
Silt
Clay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The area of the channel at bankfull flow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The width of the channel at bankfull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The width of the floodplain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The bankfull width divided by the channel's mean depth at bankfull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The wetted perimeter at bankfull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The bankfull area divided by the wetted perimeter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The mean depth of the channel at bankfull flow</t>
        </r>
      </text>
    </comment>
    <comment ref="A19" authorId="0" shapeId="0">
      <text>
        <r>
          <rPr>
            <b/>
            <sz val="9"/>
            <color indexed="81"/>
            <rFont val="Tahoma"/>
            <family val="2"/>
          </rPr>
          <t>The mean discharge velocity at bankfull flow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The discharge rate at bankfull flow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The maximum shear stress at bankfull flow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The largest particle size that can be moved by the channel at bankfull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The channel's Rosgen classification. Uncheck the box to disable automatic classification. Note that if the box is checked, changing any cells in B1:B11 will result in an inability to ctrl-z anything as a macro is triggered!</t>
        </r>
        <r>
          <rPr>
            <sz val="9"/>
            <color indexed="81"/>
            <rFont val="Tahoma"/>
            <family val="2"/>
          </rPr>
          <t xml:space="preserve">
Does not work for multithreaded channels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The H:V ratio for the left channel bank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The H:V ratio for the right channel bank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The maximum channel depth at bankfull flow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The width of the bottom of the channel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The width of the floodplain divided by the bankfull width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The H:V of the left terrace slope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The H:V of the right terrace slope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Manning's n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Average slope of the water surface in the channel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The total length of the channel divided by the straight-line distance between its beginning and end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Whether the channel is single- or multi-threaded
Type "Single" or "Multi"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The dominant bed material
Acceptable values:
Bedrock
Boulders
Cobble
Gravel
Sand
Silt
Clay</t>
        </r>
      </text>
    </comment>
    <comment ref="A19" authorId="0" shapeId="0">
      <text>
        <r>
          <rPr>
            <b/>
            <sz val="9"/>
            <color indexed="81"/>
            <rFont val="Tahoma"/>
            <family val="2"/>
          </rPr>
          <t>The area of the channel at bankfull flow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The width of the channel at bankfull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The width of the floodplain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The bankfull width divided by the channel's mean depth at bankfull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The wetted perimeter at bankfull</t>
        </r>
      </text>
    </comment>
    <comment ref="A24" authorId="0" shapeId="0">
      <text>
        <r>
          <rPr>
            <b/>
            <sz val="9"/>
            <color indexed="81"/>
            <rFont val="Tahoma"/>
            <family val="2"/>
          </rPr>
          <t>The bankfull area divided by the wetted perimeter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The mean depth of the channel at bankfull flow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The mean discharge velocity at bankfull flow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The discharge rate at bankfull flow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The maximum shear stress at bankfull flow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The largest particle size that can be moved by the channel at bankfull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The channel's Rosgen classification. Uncheck the box to disable automatic classification. Note that if the box is checked, changing any cells in B1:B11 will result in an inability to ctrl-z anything as a macro is triggered!</t>
        </r>
        <r>
          <rPr>
            <sz val="9"/>
            <color indexed="81"/>
            <rFont val="Tahoma"/>
            <family val="2"/>
          </rPr>
          <t xml:space="preserve">
Does not work for multithreaded channels</t>
        </r>
      </text>
    </comment>
  </commentList>
</comments>
</file>

<file path=xl/sharedStrings.xml><?xml version="1.0" encoding="utf-8"?>
<sst xmlns="http://schemas.openxmlformats.org/spreadsheetml/2006/main" count="258" uniqueCount="134">
  <si>
    <t>Station</t>
  </si>
  <si>
    <t>Elevation</t>
  </si>
  <si>
    <t>Description</t>
  </si>
  <si>
    <t>Terrace Slope</t>
  </si>
  <si>
    <t>Channel Roughness</t>
  </si>
  <si>
    <t>Entrenchment Ratio</t>
  </si>
  <si>
    <t>Leftmost</t>
  </si>
  <si>
    <t>Rightmost</t>
  </si>
  <si>
    <t>Right Top of Terrace</t>
  </si>
  <si>
    <t>Right Edge of Floodplain</t>
  </si>
  <si>
    <t>Right Top of Bank</t>
  </si>
  <si>
    <t>Right Bottom of Channel</t>
  </si>
  <si>
    <t>Left Bottom of Channel</t>
  </si>
  <si>
    <t>Left Top of Bank</t>
  </si>
  <si>
    <t>Left Edge of Floodplain</t>
  </si>
  <si>
    <t>Left Top of Terrace</t>
  </si>
  <si>
    <t>Segment Length</t>
  </si>
  <si>
    <t>--</t>
  </si>
  <si>
    <t>Bankfull Width (ft)</t>
  </si>
  <si>
    <t>Bankfull Area (sq ft)</t>
  </si>
  <si>
    <t>Wetted Perimeter (ft)</t>
  </si>
  <si>
    <t>Hydraulic Radius (ft)</t>
  </si>
  <si>
    <t>Bankfull Discharge (cfs)</t>
  </si>
  <si>
    <t>Discharge Velocity (ft/s)</t>
  </si>
  <si>
    <t>Parameter</t>
  </si>
  <si>
    <t>Designed</t>
  </si>
  <si>
    <t>Curve</t>
  </si>
  <si>
    <t>Error</t>
  </si>
  <si>
    <t>Existing</t>
  </si>
  <si>
    <t>Max Depth (ft)</t>
  </si>
  <si>
    <t>Mean Depth (ft)</t>
  </si>
  <si>
    <t>Final</t>
  </si>
  <si>
    <t>Bottom Width (ft)</t>
  </si>
  <si>
    <t>Floodplain Width (ft)</t>
  </si>
  <si>
    <t>Sinuosity</t>
  </si>
  <si>
    <t>Single</t>
  </si>
  <si>
    <t>Threadedness</t>
  </si>
  <si>
    <t>PRIMARY TYPE</t>
  </si>
  <si>
    <t>Bedrock</t>
  </si>
  <si>
    <t>Boulders</t>
  </si>
  <si>
    <t>Cobble</t>
  </si>
  <si>
    <t>Gravel</t>
  </si>
  <si>
    <t>Sand</t>
  </si>
  <si>
    <t>A</t>
  </si>
  <si>
    <t>G</t>
  </si>
  <si>
    <t>F</t>
  </si>
  <si>
    <t>B</t>
  </si>
  <si>
    <t>E</t>
  </si>
  <si>
    <t>C</t>
  </si>
  <si>
    <t>D</t>
  </si>
  <si>
    <t>DA</t>
  </si>
  <si>
    <t>Multi</t>
  </si>
  <si>
    <t>Bed Material</t>
  </si>
  <si>
    <t>Particles Mobilized</t>
  </si>
  <si>
    <t>SECONDARY TYPE</t>
  </si>
  <si>
    <t>a+</t>
  </si>
  <si>
    <t>c</t>
  </si>
  <si>
    <t>b</t>
  </si>
  <si>
    <t>a</t>
  </si>
  <si>
    <t>X</t>
  </si>
  <si>
    <t>Material Modifier</t>
  </si>
  <si>
    <t>dx</t>
  </si>
  <si>
    <t>dy</t>
  </si>
  <si>
    <t>Single/Multi</t>
  </si>
  <si>
    <t>Left Bank Slope (ft/ft)</t>
  </si>
  <si>
    <t>Right Bank Slope (ft/ft)</t>
  </si>
  <si>
    <t>Max Shear Stress (lb/sq ft)</t>
  </si>
  <si>
    <t>Particle</t>
  </si>
  <si>
    <t>Very Large Boulders</t>
  </si>
  <si>
    <t>Large Boulders</t>
  </si>
  <si>
    <t>Medium Boulders</t>
  </si>
  <si>
    <t>Small Boulders</t>
  </si>
  <si>
    <t>Very Coarse Gravel</t>
  </si>
  <si>
    <t>Coarse Gravel</t>
  </si>
  <si>
    <t>Medium Gravel</t>
  </si>
  <si>
    <t>Fine Gravel</t>
  </si>
  <si>
    <t>Very Fine Gravel</t>
  </si>
  <si>
    <t>Very Coarse Sand</t>
  </si>
  <si>
    <t>Coarse Sand</t>
  </si>
  <si>
    <t>Medium Sand</t>
  </si>
  <si>
    <t>Fine Sand</t>
  </si>
  <si>
    <t>Very Fine Sand</t>
  </si>
  <si>
    <t>Silt</t>
  </si>
  <si>
    <t>tau_crit (lbs/sf)</t>
  </si>
  <si>
    <t>None</t>
  </si>
  <si>
    <t>-</t>
  </si>
  <si>
    <t>Variable</t>
  </si>
  <si>
    <t>Width-to-Depth Ratio</t>
  </si>
  <si>
    <t>To Do:</t>
  </si>
  <si>
    <t>Add benching option</t>
  </si>
  <si>
    <t>WS Slope</t>
  </si>
  <si>
    <t>Clay</t>
  </si>
  <si>
    <t>Large Cobble</t>
  </si>
  <si>
    <t>Small Cobble</t>
  </si>
  <si>
    <t>Stock Vals</t>
  </si>
  <si>
    <t>NA</t>
  </si>
  <si>
    <t>Material:</t>
  </si>
  <si>
    <t>Classification:</t>
  </si>
  <si>
    <t>Primary Str:</t>
  </si>
  <si>
    <t>Secondary Str:</t>
  </si>
  <si>
    <t>Trigger Rosgen</t>
  </si>
  <si>
    <t>Rosgen Concat</t>
  </si>
  <si>
    <t>Left Bench Slope (ft/ft)</t>
  </si>
  <si>
    <t>Right Bench Slope (ft/ft)</t>
  </si>
  <si>
    <t>Left Bench Width (ft)</t>
  </si>
  <si>
    <t>Right Bench Width (ft)</t>
  </si>
  <si>
    <t>Left Bench Height (ft)</t>
  </si>
  <si>
    <t>Right Bench Height (ft)</t>
  </si>
  <si>
    <t>Left Terrace Slope</t>
  </si>
  <si>
    <t>Right Terrace Slope</t>
  </si>
  <si>
    <t>Left Edge of Left Bench</t>
  </si>
  <si>
    <t>Right Edge of Left Bench</t>
  </si>
  <si>
    <t>Left Edge of Right Bench</t>
  </si>
  <si>
    <t>Right Edge of Right Bench</t>
  </si>
  <si>
    <t>Bkf Area</t>
  </si>
  <si>
    <t>Bkd Width</t>
  </si>
  <si>
    <t>Bkf Mean Depth</t>
  </si>
  <si>
    <t>Bkf Discharge</t>
  </si>
  <si>
    <t>Centerpoint</t>
  </si>
  <si>
    <t>Bkf Width</t>
  </si>
  <si>
    <t>NOT DONE DO NOT USE</t>
  </si>
  <si>
    <t>c-</t>
  </si>
  <si>
    <t>Entrenchment (range)</t>
  </si>
  <si>
    <t>W:D (range)</t>
  </si>
  <si>
    <t>Sinuosity (range)</t>
  </si>
  <si>
    <t>Slope (range)</t>
  </si>
  <si>
    <t>Thread</t>
  </si>
  <si>
    <t>Entr</t>
  </si>
  <si>
    <t>W:D</t>
  </si>
  <si>
    <t>Sin</t>
  </si>
  <si>
    <t>Slope</t>
  </si>
  <si>
    <t>Material</t>
  </si>
  <si>
    <t>Col</t>
  </si>
  <si>
    <t>NEED TO GET EVENT TO TRIGGER ON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</si>
</sst>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2" fillId="0" borderId="0" xfId="0" applyFont="1"/>
    <xf numFmtId="2" fontId="0" fillId="0" borderId="0" xfId="0" applyNumberFormat="1"/>
    <xf numFmtId="0" fontId="0" fillId="0" borderId="0" xfId="0" quotePrefix="1" applyAlignment="1">
      <alignment horizontal="center"/>
    </xf>
    <xf numFmtId="164" fontId="0" fillId="0" borderId="0" xfId="0" applyNumberFormat="1"/>
    <xf numFmtId="0" fontId="2" fillId="2" borderId="0" xfId="0" applyFont="1" applyFill="1"/>
    <xf numFmtId="0" fontId="2" fillId="3" borderId="0" xfId="0" applyFont="1" applyFill="1"/>
    <xf numFmtId="165" fontId="0" fillId="0" borderId="0" xfId="1" applyNumberFormat="1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/>
    <xf numFmtId="0" fontId="2" fillId="6" borderId="0" xfId="0" applyFont="1" applyFill="1"/>
    <xf numFmtId="0" fontId="2" fillId="5" borderId="0" xfId="0" applyFont="1" applyFill="1"/>
    <xf numFmtId="0" fontId="0" fillId="17" borderId="1" xfId="0" applyFill="1" applyBorder="1"/>
    <xf numFmtId="0" fontId="2" fillId="0" borderId="0" xfId="0" quotePrefix="1" applyFont="1"/>
    <xf numFmtId="0" fontId="2" fillId="6" borderId="3" xfId="0" applyFont="1" applyFill="1" applyBorder="1"/>
    <xf numFmtId="0" fontId="0" fillId="0" borderId="2" xfId="0" applyBorder="1" applyAlignment="1">
      <alignment horizontal="right"/>
    </xf>
    <xf numFmtId="1" fontId="0" fillId="17" borderId="1" xfId="0" applyNumberFormat="1" applyFill="1" applyBorder="1"/>
    <xf numFmtId="0" fontId="2" fillId="0" borderId="0" xfId="0" applyFont="1" applyAlignment="1">
      <alignment horizontal="right"/>
    </xf>
    <xf numFmtId="2" fontId="0" fillId="0" borderId="0" xfId="0" quotePrefix="1" applyNumberFormat="1"/>
    <xf numFmtId="0" fontId="2" fillId="11" borderId="0" xfId="0" applyFont="1" applyFill="1"/>
    <xf numFmtId="0" fontId="0" fillId="8" borderId="0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0" fontId="0" fillId="7" borderId="5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18" borderId="5" xfId="0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4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2" fillId="0" borderId="5" xfId="0" applyFont="1" applyBorder="1" applyAlignment="1"/>
    <xf numFmtId="0" fontId="2" fillId="0" borderId="0" xfId="0" applyFont="1" applyBorder="1" applyAlignment="1"/>
    <xf numFmtId="0" fontId="2" fillId="0" borderId="4" xfId="0" applyFont="1" applyBorder="1" applyAlignment="1"/>
    <xf numFmtId="0" fontId="0" fillId="7" borderId="5" xfId="0" applyFill="1" applyBorder="1" applyAlignment="1"/>
    <xf numFmtId="0" fontId="0" fillId="7" borderId="0" xfId="0" applyFill="1" applyBorder="1" applyAlignment="1"/>
    <xf numFmtId="0" fontId="0" fillId="7" borderId="4" xfId="0" applyFill="1" applyBorder="1" applyAlignment="1"/>
    <xf numFmtId="0" fontId="0" fillId="0" borderId="0" xfId="0" applyBorder="1"/>
    <xf numFmtId="0" fontId="2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Designed</a:t>
            </a:r>
            <a:r>
              <a:rPr lang="en-US" baseline="0"/>
              <a:t> XS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XS!$I$1</c:f>
              <c:strCache>
                <c:ptCount val="1"/>
                <c:pt idx="0">
                  <c:v>Elevation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XS!$H$2:$H$11</c:f>
              <c:numCache>
                <c:formatCode>0.00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16.099999999999998</c:v>
                </c:pt>
                <c:pt idx="4">
                  <c:v>22.099999999999998</c:v>
                </c:pt>
                <c:pt idx="5">
                  <c:v>24.099999999999998</c:v>
                </c:pt>
                <c:pt idx="6">
                  <c:v>30.099999999999998</c:v>
                </c:pt>
                <c:pt idx="7">
                  <c:v>39.199999999999996</c:v>
                </c:pt>
                <c:pt idx="8">
                  <c:v>45.199999999999996</c:v>
                </c:pt>
                <c:pt idx="9">
                  <c:v>46.199999999999996</c:v>
                </c:pt>
              </c:numCache>
            </c:numRef>
          </c:xVal>
          <c:yVal>
            <c:numRef>
              <c:f>XS!$I$2:$I$11</c:f>
              <c:numCache>
                <c:formatCode>0.00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281072"/>
        <c:axId val="111275976"/>
      </c:scatterChart>
      <c:valAx>
        <c:axId val="11128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5976"/>
        <c:crosses val="autoZero"/>
        <c:crossBetween val="midCat"/>
      </c:valAx>
      <c:valAx>
        <c:axId val="11127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Designed</a:t>
            </a:r>
            <a:r>
              <a:rPr lang="en-US" baseline="0"/>
              <a:t> XS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XS_wBench!$I$1</c:f>
              <c:strCache>
                <c:ptCount val="1"/>
                <c:pt idx="0">
                  <c:v>Elevation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XS_wBench!$H$2:$H$15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16</c:v>
                </c:pt>
                <c:pt idx="3">
                  <c:v>34.6</c:v>
                </c:pt>
                <c:pt idx="4">
                  <c:v>42.6</c:v>
                </c:pt>
                <c:pt idx="5" formatCode="General">
                  <c:v>46.6</c:v>
                </c:pt>
                <c:pt idx="6">
                  <c:v>49.6</c:v>
                </c:pt>
                <c:pt idx="7">
                  <c:v>50.6</c:v>
                </c:pt>
                <c:pt idx="8" formatCode="General">
                  <c:v>53.6</c:v>
                </c:pt>
                <c:pt idx="9">
                  <c:v>61.6</c:v>
                </c:pt>
                <c:pt idx="10">
                  <c:v>65.599999999999994</c:v>
                </c:pt>
                <c:pt idx="11">
                  <c:v>84.2</c:v>
                </c:pt>
                <c:pt idx="12">
                  <c:v>109.2</c:v>
                </c:pt>
                <c:pt idx="13">
                  <c:v>110.2</c:v>
                </c:pt>
              </c:numCache>
            </c:numRef>
          </c:xVal>
          <c:yVal>
            <c:numRef>
              <c:f>XS_wBench!$I$2:$I$15</c:f>
              <c:numCache>
                <c:formatCode>0.00</c:formatCode>
                <c:ptCount val="14"/>
                <c:pt idx="0">
                  <c:v>10</c:v>
                </c:pt>
                <c:pt idx="1">
                  <c:v>10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63744"/>
        <c:axId val="111864136"/>
      </c:scatterChart>
      <c:valAx>
        <c:axId val="11186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64136"/>
        <c:crosses val="autoZero"/>
        <c:crossBetween val="midCat"/>
      </c:valAx>
      <c:valAx>
        <c:axId val="11186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6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S$3" lockText="1" noThreeD="1"/>
</file>

<file path=xl/ctrlProps/ctrlProp4.xml><?xml version="1.0" encoding="utf-8"?>
<formControlPr xmlns="http://schemas.microsoft.com/office/spreadsheetml/2009/9/main" objectType="CheckBox" fmlaLink="$S$3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25</xdr:row>
          <xdr:rowOff>158750</xdr:rowOff>
        </xdr:from>
        <xdr:to>
          <xdr:col>7</xdr:col>
          <xdr:colOff>565150</xdr:colOff>
          <xdr:row>27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523346</xdr:colOff>
          <xdr:row>1</xdr:row>
          <xdr:rowOff>44450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156240</xdr:colOff>
      <xdr:row>0</xdr:row>
      <xdr:rowOff>0</xdr:rowOff>
    </xdr:from>
    <xdr:to>
      <xdr:col>14</xdr:col>
      <xdr:colOff>441399</xdr:colOff>
      <xdr:row>10</xdr:row>
      <xdr:rowOff>141175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1504950</xdr:colOff>
          <xdr:row>22</xdr:row>
          <xdr:rowOff>57150</xdr:rowOff>
        </xdr:from>
        <xdr:to>
          <xdr:col>1</xdr:col>
          <xdr:colOff>38100</xdr:colOff>
          <xdr:row>22</xdr:row>
          <xdr:rowOff>171450</xdr:rowOff>
        </xdr:to>
        <xdr:sp macro="" textlink="">
          <xdr:nvSpPr>
            <xdr:cNvPr id="8299" name="Check Box 107" hidden="1">
              <a:extLst>
                <a:ext uri="{63B3BB69-23CF-44E3-9099-C40C66FF867C}">
                  <a14:compatExt spid="_x0000_s8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156240</xdr:colOff>
      <xdr:row>0</xdr:row>
      <xdr:rowOff>0</xdr:rowOff>
    </xdr:from>
    <xdr:to>
      <xdr:col>14</xdr:col>
      <xdr:colOff>441399</xdr:colOff>
      <xdr:row>10</xdr:row>
      <xdr:rowOff>141175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29</xdr:row>
          <xdr:rowOff>57150</xdr:rowOff>
        </xdr:from>
        <xdr:to>
          <xdr:col>1</xdr:col>
          <xdr:colOff>196850</xdr:colOff>
          <xdr:row>29</xdr:row>
          <xdr:rowOff>171450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workbookViewId="0">
      <selection activeCell="C19" sqref="C19"/>
    </sheetView>
  </sheetViews>
  <sheetFormatPr defaultRowHeight="14.5" x14ac:dyDescent="0.35"/>
  <cols>
    <col min="1" max="1" width="17.36328125" customWidth="1"/>
    <col min="2" max="2" width="18.08984375" customWidth="1"/>
  </cols>
  <sheetData>
    <row r="1" spans="1:2" x14ac:dyDescent="0.35">
      <c r="A1" t="s">
        <v>67</v>
      </c>
      <c r="B1" t="s">
        <v>83</v>
      </c>
    </row>
    <row r="2" spans="1:2" x14ac:dyDescent="0.35">
      <c r="A2" s="9" t="s">
        <v>85</v>
      </c>
      <c r="B2">
        <v>10000</v>
      </c>
    </row>
    <row r="3" spans="1:2" x14ac:dyDescent="0.35">
      <c r="A3" t="s">
        <v>68</v>
      </c>
      <c r="B3">
        <v>37.4</v>
      </c>
    </row>
    <row r="4" spans="1:2" x14ac:dyDescent="0.35">
      <c r="A4" t="s">
        <v>69</v>
      </c>
      <c r="B4">
        <v>18.7</v>
      </c>
    </row>
    <row r="5" spans="1:2" x14ac:dyDescent="0.35">
      <c r="A5" t="s">
        <v>70</v>
      </c>
      <c r="B5">
        <v>9.3000000000000007</v>
      </c>
    </row>
    <row r="6" spans="1:2" x14ac:dyDescent="0.35">
      <c r="A6" t="s">
        <v>71</v>
      </c>
      <c r="B6">
        <v>4.7</v>
      </c>
    </row>
    <row r="7" spans="1:2" x14ac:dyDescent="0.35">
      <c r="A7" t="s">
        <v>92</v>
      </c>
      <c r="B7">
        <v>2.2999999999999998</v>
      </c>
    </row>
    <row r="8" spans="1:2" x14ac:dyDescent="0.35">
      <c r="A8" t="s">
        <v>93</v>
      </c>
      <c r="B8">
        <v>1.1000000000000001</v>
      </c>
    </row>
    <row r="9" spans="1:2" x14ac:dyDescent="0.35">
      <c r="A9" t="s">
        <v>72</v>
      </c>
      <c r="B9">
        <v>0.54</v>
      </c>
    </row>
    <row r="10" spans="1:2" x14ac:dyDescent="0.35">
      <c r="A10" t="s">
        <v>73</v>
      </c>
      <c r="B10">
        <v>0.25</v>
      </c>
    </row>
    <row r="11" spans="1:2" x14ac:dyDescent="0.35">
      <c r="A11" t="s">
        <v>74</v>
      </c>
      <c r="B11">
        <v>0.12</v>
      </c>
    </row>
    <row r="12" spans="1:2" x14ac:dyDescent="0.35">
      <c r="A12" t="s">
        <v>75</v>
      </c>
      <c r="B12">
        <v>0.06</v>
      </c>
    </row>
    <row r="13" spans="1:2" x14ac:dyDescent="0.35">
      <c r="A13" t="s">
        <v>76</v>
      </c>
      <c r="B13">
        <v>0.03</v>
      </c>
    </row>
    <row r="14" spans="1:2" x14ac:dyDescent="0.35">
      <c r="A14" t="s">
        <v>77</v>
      </c>
      <c r="B14">
        <v>0.01</v>
      </c>
    </row>
    <row r="15" spans="1:2" x14ac:dyDescent="0.35">
      <c r="A15" t="s">
        <v>78</v>
      </c>
      <c r="B15">
        <v>6.0000000000000001E-3</v>
      </c>
    </row>
    <row r="16" spans="1:2" x14ac:dyDescent="0.35">
      <c r="A16" t="s">
        <v>79</v>
      </c>
      <c r="B16">
        <v>4.0000000000000001E-3</v>
      </c>
    </row>
    <row r="17" spans="1:2" x14ac:dyDescent="0.35">
      <c r="A17" t="s">
        <v>80</v>
      </c>
      <c r="B17">
        <v>3.0000000000000001E-3</v>
      </c>
    </row>
    <row r="18" spans="1:2" x14ac:dyDescent="0.35">
      <c r="A18" t="s">
        <v>81</v>
      </c>
      <c r="B18">
        <v>2E-3</v>
      </c>
    </row>
    <row r="19" spans="1:2" x14ac:dyDescent="0.35">
      <c r="A19" t="s">
        <v>82</v>
      </c>
      <c r="B19">
        <v>1E-3</v>
      </c>
    </row>
    <row r="20" spans="1:2" x14ac:dyDescent="0.35">
      <c r="A20" t="s">
        <v>84</v>
      </c>
      <c r="B2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25"/>
  <sheetViews>
    <sheetView topLeftCell="A4" zoomScale="87" zoomScaleNormal="87" workbookViewId="0">
      <selection activeCell="E23" sqref="E23"/>
    </sheetView>
  </sheetViews>
  <sheetFormatPr defaultRowHeight="14.5" x14ac:dyDescent="0.35"/>
  <cols>
    <col min="1" max="1" width="23.1796875" customWidth="1"/>
    <col min="13" max="13" width="8.7265625" customWidth="1"/>
    <col min="36" max="37" width="8.7265625" style="89"/>
  </cols>
  <sheetData>
    <row r="1" spans="1:37" x14ac:dyDescent="0.35">
      <c r="A1" t="s">
        <v>132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</row>
    <row r="2" spans="1:37" x14ac:dyDescent="0.35">
      <c r="A2" s="10" t="s">
        <v>36</v>
      </c>
      <c r="B2" s="86" t="s">
        <v>35</v>
      </c>
      <c r="C2" s="87" t="s">
        <v>35</v>
      </c>
      <c r="D2" s="87" t="s">
        <v>35</v>
      </c>
      <c r="E2" s="88" t="s">
        <v>35</v>
      </c>
      <c r="F2" s="86" t="s">
        <v>35</v>
      </c>
      <c r="G2" s="87" t="s">
        <v>35</v>
      </c>
      <c r="H2" s="87" t="s">
        <v>35</v>
      </c>
      <c r="I2" s="88" t="s">
        <v>35</v>
      </c>
      <c r="J2" s="86" t="s">
        <v>35</v>
      </c>
      <c r="K2" s="87" t="s">
        <v>35</v>
      </c>
      <c r="L2" s="87" t="s">
        <v>35</v>
      </c>
      <c r="M2" s="88" t="s">
        <v>35</v>
      </c>
      <c r="N2" s="86" t="s">
        <v>35</v>
      </c>
      <c r="O2" s="87" t="s">
        <v>35</v>
      </c>
      <c r="P2" s="87" t="s">
        <v>35</v>
      </c>
      <c r="Q2" s="87" t="s">
        <v>35</v>
      </c>
      <c r="R2" s="87" t="s">
        <v>35</v>
      </c>
      <c r="S2" s="88" t="s">
        <v>35</v>
      </c>
      <c r="T2" s="86" t="s">
        <v>35</v>
      </c>
      <c r="U2" s="87" t="s">
        <v>35</v>
      </c>
      <c r="V2" s="87" t="s">
        <v>35</v>
      </c>
      <c r="W2" s="88" t="s">
        <v>35</v>
      </c>
      <c r="X2" s="41" t="s">
        <v>35</v>
      </c>
      <c r="Y2" s="47" t="s">
        <v>35</v>
      </c>
      <c r="Z2" s="47" t="s">
        <v>35</v>
      </c>
      <c r="AA2" s="47" t="s">
        <v>35</v>
      </c>
      <c r="AB2" s="47" t="s">
        <v>35</v>
      </c>
      <c r="AC2" s="42" t="s">
        <v>35</v>
      </c>
      <c r="AD2" s="57" t="s">
        <v>51</v>
      </c>
      <c r="AE2" s="63" t="s">
        <v>51</v>
      </c>
      <c r="AF2" s="63" t="s">
        <v>51</v>
      </c>
      <c r="AG2" s="63" t="s">
        <v>51</v>
      </c>
      <c r="AH2" s="63" t="s">
        <v>51</v>
      </c>
      <c r="AI2" s="58" t="s">
        <v>51</v>
      </c>
      <c r="AJ2" s="63" t="s">
        <v>51</v>
      </c>
      <c r="AK2" s="58" t="s">
        <v>51</v>
      </c>
    </row>
    <row r="3" spans="1:37" x14ac:dyDescent="0.35">
      <c r="A3" s="10" t="s">
        <v>122</v>
      </c>
      <c r="B3" s="31">
        <v>0</v>
      </c>
      <c r="C3" s="21">
        <v>1.4</v>
      </c>
      <c r="D3" s="21">
        <v>0</v>
      </c>
      <c r="E3" s="22">
        <v>1.4</v>
      </c>
      <c r="F3" s="31">
        <v>0</v>
      </c>
      <c r="G3" s="21">
        <v>1.4</v>
      </c>
      <c r="H3" s="21">
        <v>0</v>
      </c>
      <c r="I3" s="22">
        <v>1.4</v>
      </c>
      <c r="J3" s="31">
        <v>0</v>
      </c>
      <c r="K3" s="21">
        <v>1.4</v>
      </c>
      <c r="L3" s="21">
        <v>0</v>
      </c>
      <c r="M3" s="22">
        <v>1.4</v>
      </c>
      <c r="N3" s="48">
        <v>1.4</v>
      </c>
      <c r="O3" s="49">
        <v>2.2000000000000002</v>
      </c>
      <c r="P3" s="49">
        <v>1.4</v>
      </c>
      <c r="Q3" s="49">
        <v>2.2000000000000002</v>
      </c>
      <c r="R3" s="49">
        <v>1.4</v>
      </c>
      <c r="S3" s="50">
        <v>2.2000000000000002</v>
      </c>
      <c r="T3" s="57">
        <v>2.2000000000000002</v>
      </c>
      <c r="U3" s="63">
        <v>1000</v>
      </c>
      <c r="V3" s="63">
        <v>2.2000000000000002</v>
      </c>
      <c r="W3" s="58">
        <v>1000</v>
      </c>
      <c r="X3" s="57">
        <v>2.2000000000000002</v>
      </c>
      <c r="Y3" s="63">
        <v>1000</v>
      </c>
      <c r="Z3" s="63">
        <v>2.2000000000000002</v>
      </c>
      <c r="AA3" s="63">
        <v>1000</v>
      </c>
      <c r="AB3" s="63">
        <v>2.2000000000000002</v>
      </c>
      <c r="AC3" s="58">
        <v>1000</v>
      </c>
      <c r="AD3" s="70" t="s">
        <v>95</v>
      </c>
      <c r="AE3" s="71"/>
      <c r="AF3" s="71"/>
      <c r="AG3" s="71"/>
      <c r="AH3" s="71" t="s">
        <v>95</v>
      </c>
      <c r="AI3" s="72"/>
      <c r="AJ3" s="71" t="s">
        <v>95</v>
      </c>
      <c r="AK3" s="72"/>
    </row>
    <row r="4" spans="1:37" x14ac:dyDescent="0.35">
      <c r="A4" s="10" t="s">
        <v>123</v>
      </c>
      <c r="B4" s="32">
        <v>0</v>
      </c>
      <c r="C4" s="23">
        <v>12</v>
      </c>
      <c r="D4" s="23">
        <v>0</v>
      </c>
      <c r="E4" s="24">
        <v>12</v>
      </c>
      <c r="F4" s="32">
        <v>0</v>
      </c>
      <c r="G4" s="23">
        <v>12</v>
      </c>
      <c r="H4" s="23">
        <v>0</v>
      </c>
      <c r="I4" s="24">
        <v>12</v>
      </c>
      <c r="J4" s="43">
        <v>12</v>
      </c>
      <c r="K4" s="80">
        <v>1000</v>
      </c>
      <c r="L4" s="80">
        <v>12</v>
      </c>
      <c r="M4" s="44">
        <v>1000</v>
      </c>
      <c r="N4" s="51">
        <v>12</v>
      </c>
      <c r="O4" s="52">
        <v>1000</v>
      </c>
      <c r="P4" s="52">
        <v>12</v>
      </c>
      <c r="Q4" s="52">
        <v>1000</v>
      </c>
      <c r="R4" s="52">
        <v>12</v>
      </c>
      <c r="S4" s="53">
        <v>1000</v>
      </c>
      <c r="T4" s="36">
        <v>0</v>
      </c>
      <c r="U4" s="37">
        <v>12</v>
      </c>
      <c r="V4" s="37">
        <v>0</v>
      </c>
      <c r="W4" s="38">
        <v>12</v>
      </c>
      <c r="X4" s="64">
        <v>12</v>
      </c>
      <c r="Y4" s="65">
        <v>1000</v>
      </c>
      <c r="Z4" s="65">
        <v>12</v>
      </c>
      <c r="AA4" s="65">
        <v>1000</v>
      </c>
      <c r="AB4" s="65">
        <v>12</v>
      </c>
      <c r="AC4" s="66">
        <v>1000</v>
      </c>
      <c r="AD4" s="73">
        <v>40</v>
      </c>
      <c r="AE4" s="74"/>
      <c r="AF4" s="74"/>
      <c r="AG4" s="74"/>
      <c r="AH4" s="74">
        <v>1000</v>
      </c>
      <c r="AI4" s="75"/>
      <c r="AJ4" s="25" t="s">
        <v>86</v>
      </c>
      <c r="AK4" s="26"/>
    </row>
    <row r="5" spans="1:37" x14ac:dyDescent="0.35">
      <c r="A5" s="10" t="s">
        <v>124</v>
      </c>
      <c r="B5" s="33">
        <v>0</v>
      </c>
      <c r="C5" s="25">
        <v>1.2</v>
      </c>
      <c r="D5" s="25">
        <v>0</v>
      </c>
      <c r="E5" s="26">
        <v>1.2</v>
      </c>
      <c r="F5" s="36">
        <v>1.2</v>
      </c>
      <c r="G5" s="37">
        <v>1000</v>
      </c>
      <c r="H5" s="37">
        <v>1.2</v>
      </c>
      <c r="I5" s="38">
        <v>1000</v>
      </c>
      <c r="J5" s="45">
        <v>1.2</v>
      </c>
      <c r="K5" s="81">
        <v>10</v>
      </c>
      <c r="L5" s="81">
        <v>1.2</v>
      </c>
      <c r="M5" s="46">
        <v>10</v>
      </c>
      <c r="N5" s="54">
        <v>1.2</v>
      </c>
      <c r="O5" s="55">
        <v>10</v>
      </c>
      <c r="P5" s="55">
        <v>1.2</v>
      </c>
      <c r="Q5" s="55">
        <v>10</v>
      </c>
      <c r="R5" s="55">
        <v>1.2</v>
      </c>
      <c r="S5" s="56">
        <v>10</v>
      </c>
      <c r="T5" s="59">
        <v>1.5</v>
      </c>
      <c r="U5" s="82">
        <v>50</v>
      </c>
      <c r="V5" s="82">
        <v>1.5</v>
      </c>
      <c r="W5" s="60">
        <v>50</v>
      </c>
      <c r="X5" s="67">
        <v>1.2</v>
      </c>
      <c r="Y5" s="68">
        <v>50</v>
      </c>
      <c r="Z5" s="68">
        <v>1.2</v>
      </c>
      <c r="AA5" s="68">
        <v>50</v>
      </c>
      <c r="AB5" s="68">
        <v>1.2</v>
      </c>
      <c r="AC5" s="69">
        <v>50</v>
      </c>
      <c r="AD5" s="76">
        <v>0</v>
      </c>
      <c r="AE5" s="77"/>
      <c r="AF5" s="77"/>
      <c r="AG5" s="77"/>
      <c r="AH5" s="77">
        <v>2</v>
      </c>
      <c r="AI5" s="78"/>
      <c r="AJ5" s="47" t="s">
        <v>86</v>
      </c>
      <c r="AK5" s="42"/>
    </row>
    <row r="6" spans="1:37" x14ac:dyDescent="0.35">
      <c r="A6" s="1" t="s">
        <v>37</v>
      </c>
      <c r="B6" s="83" t="s">
        <v>43</v>
      </c>
      <c r="C6" s="84"/>
      <c r="D6" s="84" t="s">
        <v>43</v>
      </c>
      <c r="E6" s="85"/>
      <c r="F6" s="83" t="s">
        <v>44</v>
      </c>
      <c r="G6" s="84"/>
      <c r="H6" s="84" t="s">
        <v>44</v>
      </c>
      <c r="I6" s="85"/>
      <c r="J6" s="83" t="s">
        <v>45</v>
      </c>
      <c r="K6" s="84"/>
      <c r="L6" s="84" t="s">
        <v>45</v>
      </c>
      <c r="M6" s="85"/>
      <c r="N6" s="83" t="s">
        <v>46</v>
      </c>
      <c r="O6" s="84"/>
      <c r="P6" s="84" t="s">
        <v>46</v>
      </c>
      <c r="Q6" s="84"/>
      <c r="R6" s="84" t="s">
        <v>46</v>
      </c>
      <c r="S6" s="85"/>
      <c r="T6" s="83" t="s">
        <v>47</v>
      </c>
      <c r="U6" s="84"/>
      <c r="V6" s="84" t="s">
        <v>47</v>
      </c>
      <c r="W6" s="85"/>
      <c r="X6" s="35" t="s">
        <v>48</v>
      </c>
      <c r="Y6" s="29"/>
      <c r="Z6" s="29" t="s">
        <v>48</v>
      </c>
      <c r="AA6" s="29"/>
      <c r="AB6" s="29" t="s">
        <v>48</v>
      </c>
      <c r="AC6" s="30"/>
      <c r="AD6" s="35" t="s">
        <v>49</v>
      </c>
      <c r="AE6" s="29"/>
      <c r="AF6" s="29" t="s">
        <v>49</v>
      </c>
      <c r="AG6" s="29"/>
      <c r="AH6" s="29" t="s">
        <v>49</v>
      </c>
      <c r="AI6" s="30"/>
      <c r="AJ6" s="29" t="s">
        <v>50</v>
      </c>
      <c r="AK6" s="30" t="s">
        <v>50</v>
      </c>
    </row>
    <row r="7" spans="1:37" x14ac:dyDescent="0.35">
      <c r="B7" s="34"/>
      <c r="C7" s="27"/>
      <c r="D7" s="27"/>
      <c r="E7" s="28"/>
      <c r="F7" s="34"/>
      <c r="G7" s="27"/>
      <c r="H7" s="27"/>
      <c r="I7" s="28"/>
      <c r="J7" s="34"/>
      <c r="K7" s="27"/>
      <c r="L7" s="27"/>
      <c r="M7" s="28"/>
      <c r="N7" s="34"/>
      <c r="O7" s="27"/>
      <c r="P7" s="27"/>
      <c r="Q7" s="27"/>
      <c r="R7" s="27"/>
      <c r="S7" s="28"/>
      <c r="T7" s="34"/>
      <c r="U7" s="27"/>
      <c r="V7" s="27"/>
      <c r="W7" s="28"/>
      <c r="X7" s="34"/>
      <c r="Y7" s="27"/>
      <c r="Z7" s="27"/>
      <c r="AA7" s="27"/>
      <c r="AB7" s="27"/>
      <c r="AC7" s="28"/>
      <c r="AD7" s="34"/>
      <c r="AE7" s="27"/>
      <c r="AF7" s="27"/>
      <c r="AG7" s="27"/>
      <c r="AH7" s="27"/>
      <c r="AI7" s="28"/>
      <c r="AJ7" s="27"/>
      <c r="AK7" s="28"/>
    </row>
    <row r="8" spans="1:37" x14ac:dyDescent="0.35">
      <c r="A8" s="10" t="s">
        <v>125</v>
      </c>
      <c r="B8" s="34">
        <v>0.1</v>
      </c>
      <c r="C8" s="27">
        <v>1000</v>
      </c>
      <c r="D8" s="27">
        <v>0</v>
      </c>
      <c r="E8" s="28">
        <v>0.1</v>
      </c>
      <c r="F8" s="34">
        <v>0.02</v>
      </c>
      <c r="G8" s="27">
        <v>0.04</v>
      </c>
      <c r="H8" s="27">
        <v>0</v>
      </c>
      <c r="I8" s="39">
        <v>0.02</v>
      </c>
      <c r="J8" s="34">
        <v>0.02</v>
      </c>
      <c r="K8" s="27">
        <v>0.04</v>
      </c>
      <c r="L8" s="27">
        <v>0</v>
      </c>
      <c r="M8" s="28">
        <v>0.02</v>
      </c>
      <c r="N8" s="34">
        <v>0.04</v>
      </c>
      <c r="O8" s="27">
        <v>0.01</v>
      </c>
      <c r="P8" s="27">
        <v>0.02</v>
      </c>
      <c r="Q8" s="27">
        <v>0.04</v>
      </c>
      <c r="R8" s="27">
        <v>0</v>
      </c>
      <c r="S8" s="28">
        <v>0.02</v>
      </c>
      <c r="T8" s="34">
        <v>0.02</v>
      </c>
      <c r="U8" s="27">
        <v>0.04</v>
      </c>
      <c r="V8" s="27">
        <v>0</v>
      </c>
      <c r="W8" s="28">
        <v>0.02</v>
      </c>
      <c r="X8" s="34">
        <v>0.02</v>
      </c>
      <c r="Y8" s="27">
        <v>0.04</v>
      </c>
      <c r="Z8" s="27">
        <v>1E-3</v>
      </c>
      <c r="AA8" s="27">
        <v>0.02</v>
      </c>
      <c r="AB8" s="27">
        <v>0</v>
      </c>
      <c r="AC8" s="28">
        <v>1E-3</v>
      </c>
      <c r="AD8" s="34">
        <v>0.02</v>
      </c>
      <c r="AE8" s="27">
        <v>0.04</v>
      </c>
      <c r="AF8" s="27">
        <v>1E-3</v>
      </c>
      <c r="AG8" s="27">
        <v>0.02</v>
      </c>
      <c r="AH8" s="27">
        <v>0</v>
      </c>
      <c r="AI8" s="28">
        <v>1E-3</v>
      </c>
      <c r="AJ8" s="27">
        <v>0</v>
      </c>
      <c r="AK8" s="28">
        <v>100</v>
      </c>
    </row>
    <row r="9" spans="1:37" x14ac:dyDescent="0.35">
      <c r="A9" s="1" t="s">
        <v>54</v>
      </c>
      <c r="B9" s="83" t="s">
        <v>55</v>
      </c>
      <c r="C9" s="84"/>
      <c r="D9" s="90"/>
      <c r="E9" s="91"/>
      <c r="F9" s="92"/>
      <c r="G9" s="90"/>
      <c r="H9" s="84" t="s">
        <v>56</v>
      </c>
      <c r="I9" s="85"/>
      <c r="J9" s="83" t="s">
        <v>57</v>
      </c>
      <c r="K9" s="84"/>
      <c r="L9" s="90"/>
      <c r="M9" s="91"/>
      <c r="N9" s="83" t="s">
        <v>58</v>
      </c>
      <c r="O9" s="84"/>
      <c r="P9" s="90"/>
      <c r="Q9" s="90"/>
      <c r="R9" s="84" t="s">
        <v>56</v>
      </c>
      <c r="S9" s="85"/>
      <c r="T9" s="35"/>
      <c r="U9" s="29"/>
      <c r="V9" s="29"/>
      <c r="W9" s="30"/>
      <c r="X9" s="35" t="s">
        <v>57</v>
      </c>
      <c r="Y9" s="29"/>
      <c r="Z9" s="29"/>
      <c r="AA9" s="29"/>
      <c r="AB9" s="29" t="s">
        <v>121</v>
      </c>
      <c r="AC9" s="30"/>
      <c r="AD9" s="35" t="s">
        <v>57</v>
      </c>
      <c r="AE9" s="29"/>
      <c r="AF9" s="29"/>
      <c r="AG9" s="29"/>
      <c r="AH9" s="29" t="s">
        <v>121</v>
      </c>
      <c r="AI9" s="30"/>
      <c r="AJ9" s="29"/>
      <c r="AK9" s="30"/>
    </row>
    <row r="10" spans="1:37" x14ac:dyDescent="0.35">
      <c r="B10" s="34"/>
      <c r="C10" s="27"/>
      <c r="D10" s="27"/>
      <c r="E10" s="28"/>
      <c r="F10" s="34"/>
      <c r="G10" s="27"/>
      <c r="H10" s="27"/>
      <c r="I10" s="40"/>
      <c r="J10" s="34"/>
      <c r="K10" s="27"/>
      <c r="L10" s="27"/>
      <c r="M10" s="28"/>
      <c r="N10" s="34"/>
      <c r="O10" s="27"/>
      <c r="P10" s="27"/>
      <c r="Q10" s="27"/>
      <c r="R10" s="27"/>
      <c r="S10" s="28"/>
      <c r="T10" s="34"/>
      <c r="U10" s="27"/>
      <c r="V10" s="27"/>
      <c r="W10" s="28"/>
      <c r="X10" s="34"/>
      <c r="Y10" s="27"/>
      <c r="Z10" s="27"/>
      <c r="AA10" s="27"/>
      <c r="AB10" s="27"/>
      <c r="AC10" s="28"/>
      <c r="AD10" s="34"/>
      <c r="AE10" s="27"/>
      <c r="AF10" s="27"/>
      <c r="AG10" s="27"/>
      <c r="AH10" s="27"/>
      <c r="AI10" s="28"/>
      <c r="AJ10" s="27"/>
      <c r="AK10" s="28"/>
    </row>
    <row r="11" spans="1:37" x14ac:dyDescent="0.35">
      <c r="A11" s="10" t="s">
        <v>60</v>
      </c>
      <c r="B11" s="34"/>
      <c r="C11" s="27"/>
      <c r="D11" s="27"/>
      <c r="E11" s="28"/>
      <c r="F11" s="34"/>
      <c r="G11" s="27"/>
      <c r="H11" s="27"/>
      <c r="I11" s="40"/>
      <c r="J11" s="34"/>
      <c r="K11" s="27"/>
      <c r="L11" s="27"/>
      <c r="M11" s="28"/>
      <c r="N11" s="34"/>
      <c r="O11" s="27"/>
      <c r="P11" s="27"/>
      <c r="Q11" s="27"/>
      <c r="R11" s="27"/>
      <c r="S11" s="28"/>
      <c r="T11" s="34"/>
      <c r="U11" s="27"/>
      <c r="V11" s="27"/>
      <c r="W11" s="28"/>
      <c r="X11" s="34"/>
      <c r="Y11" s="27"/>
      <c r="Z11" s="27"/>
      <c r="AA11" s="27"/>
      <c r="AB11" s="27"/>
      <c r="AC11" s="28"/>
      <c r="AD11" s="34"/>
      <c r="AE11" s="27"/>
      <c r="AF11" s="27"/>
      <c r="AG11" s="27"/>
      <c r="AH11" s="27"/>
      <c r="AI11" s="28"/>
      <c r="AJ11" s="27"/>
      <c r="AK11" s="28"/>
    </row>
    <row r="12" spans="1:37" x14ac:dyDescent="0.35">
      <c r="A12" t="s">
        <v>38</v>
      </c>
      <c r="B12" s="34">
        <v>1</v>
      </c>
      <c r="C12" s="27"/>
      <c r="D12" s="27">
        <v>1</v>
      </c>
      <c r="E12" s="28"/>
      <c r="F12" s="34">
        <v>1</v>
      </c>
      <c r="G12" s="27"/>
      <c r="H12" s="27">
        <v>1</v>
      </c>
      <c r="I12" s="40"/>
      <c r="J12" s="34">
        <v>1</v>
      </c>
      <c r="K12" s="27"/>
      <c r="L12" s="27">
        <v>1</v>
      </c>
      <c r="M12" s="28"/>
      <c r="N12" s="34">
        <v>1</v>
      </c>
      <c r="O12" s="27"/>
      <c r="P12" s="27">
        <v>1</v>
      </c>
      <c r="Q12" s="27"/>
      <c r="R12" s="27">
        <v>1</v>
      </c>
      <c r="S12" s="28"/>
      <c r="T12" s="61" t="s">
        <v>59</v>
      </c>
      <c r="U12" s="79"/>
      <c r="V12" s="79" t="s">
        <v>59</v>
      </c>
      <c r="W12" s="62"/>
      <c r="X12" s="34">
        <v>1</v>
      </c>
      <c r="Y12" s="27"/>
      <c r="Z12" s="27">
        <v>1</v>
      </c>
      <c r="AA12" s="27"/>
      <c r="AB12" s="27">
        <v>1</v>
      </c>
      <c r="AC12" s="28"/>
      <c r="AD12" s="34">
        <v>1</v>
      </c>
      <c r="AE12" s="27"/>
      <c r="AF12" s="79" t="s">
        <v>59</v>
      </c>
      <c r="AG12" s="79"/>
      <c r="AH12" s="79" t="s">
        <v>59</v>
      </c>
      <c r="AI12" s="62"/>
      <c r="AJ12" s="79" t="s">
        <v>59</v>
      </c>
      <c r="AK12" s="62"/>
    </row>
    <row r="13" spans="1:37" x14ac:dyDescent="0.35">
      <c r="A13" t="s">
        <v>39</v>
      </c>
      <c r="B13" s="34">
        <v>2</v>
      </c>
      <c r="C13" s="27"/>
      <c r="D13" s="27">
        <v>2</v>
      </c>
      <c r="E13" s="28"/>
      <c r="F13" s="34">
        <v>2</v>
      </c>
      <c r="G13" s="27"/>
      <c r="H13" s="27">
        <v>2</v>
      </c>
      <c r="I13" s="40"/>
      <c r="J13" s="34">
        <v>2</v>
      </c>
      <c r="K13" s="27"/>
      <c r="L13" s="27">
        <v>2</v>
      </c>
      <c r="M13" s="28"/>
      <c r="N13" s="34">
        <v>2</v>
      </c>
      <c r="O13" s="27"/>
      <c r="P13" s="27">
        <v>2</v>
      </c>
      <c r="Q13" s="27"/>
      <c r="R13" s="27">
        <v>2</v>
      </c>
      <c r="S13" s="28"/>
      <c r="T13" s="61" t="s">
        <v>59</v>
      </c>
      <c r="U13" s="79"/>
      <c r="V13" s="79" t="s">
        <v>59</v>
      </c>
      <c r="W13" s="62"/>
      <c r="X13" s="34">
        <v>2</v>
      </c>
      <c r="Y13" s="27"/>
      <c r="Z13" s="27">
        <v>2</v>
      </c>
      <c r="AA13" s="27"/>
      <c r="AB13" s="27">
        <v>2</v>
      </c>
      <c r="AC13" s="28"/>
      <c r="AD13" s="34">
        <v>2</v>
      </c>
      <c r="AE13" s="27"/>
      <c r="AF13" s="79" t="s">
        <v>59</v>
      </c>
      <c r="AG13" s="79"/>
      <c r="AH13" s="79" t="s">
        <v>59</v>
      </c>
      <c r="AI13" s="62"/>
      <c r="AJ13" s="79" t="s">
        <v>59</v>
      </c>
      <c r="AK13" s="62"/>
    </row>
    <row r="14" spans="1:37" x14ac:dyDescent="0.35">
      <c r="A14" t="s">
        <v>40</v>
      </c>
      <c r="B14" s="34">
        <v>3</v>
      </c>
      <c r="C14" s="27"/>
      <c r="D14" s="27">
        <v>3</v>
      </c>
      <c r="E14" s="28"/>
      <c r="F14" s="34">
        <v>3</v>
      </c>
      <c r="G14" s="27"/>
      <c r="H14" s="27">
        <v>3</v>
      </c>
      <c r="I14" s="40"/>
      <c r="J14" s="34">
        <v>3</v>
      </c>
      <c r="K14" s="27"/>
      <c r="L14" s="27">
        <v>3</v>
      </c>
      <c r="M14" s="28"/>
      <c r="N14" s="34">
        <v>3</v>
      </c>
      <c r="O14" s="27"/>
      <c r="P14" s="27">
        <v>3</v>
      </c>
      <c r="Q14" s="27"/>
      <c r="R14" s="27">
        <v>3</v>
      </c>
      <c r="S14" s="28"/>
      <c r="T14" s="34">
        <v>3</v>
      </c>
      <c r="U14" s="27"/>
      <c r="V14" s="27">
        <v>3</v>
      </c>
      <c r="W14" s="28"/>
      <c r="X14" s="34">
        <v>3</v>
      </c>
      <c r="Y14" s="27"/>
      <c r="Z14" s="27">
        <v>3</v>
      </c>
      <c r="AA14" s="27"/>
      <c r="AB14" s="27">
        <v>3</v>
      </c>
      <c r="AC14" s="28"/>
      <c r="AD14" s="34">
        <v>3</v>
      </c>
      <c r="AE14" s="27"/>
      <c r="AF14" s="27">
        <v>3</v>
      </c>
      <c r="AG14" s="27"/>
      <c r="AH14" s="27" t="s">
        <v>59</v>
      </c>
      <c r="AI14" s="62"/>
      <c r="AJ14" s="79" t="s">
        <v>59</v>
      </c>
      <c r="AK14" s="62"/>
    </row>
    <row r="15" spans="1:37" x14ac:dyDescent="0.35">
      <c r="A15" t="s">
        <v>41</v>
      </c>
      <c r="B15" s="34">
        <v>4</v>
      </c>
      <c r="C15" s="27"/>
      <c r="D15" s="27">
        <v>4</v>
      </c>
      <c r="E15" s="28"/>
      <c r="F15" s="34">
        <v>4</v>
      </c>
      <c r="G15" s="27"/>
      <c r="H15" s="27">
        <v>4</v>
      </c>
      <c r="I15" s="40"/>
      <c r="J15" s="34">
        <v>4</v>
      </c>
      <c r="K15" s="27"/>
      <c r="L15" s="27">
        <v>4</v>
      </c>
      <c r="M15" s="28"/>
      <c r="N15" s="34">
        <v>4</v>
      </c>
      <c r="O15" s="27"/>
      <c r="P15" s="27">
        <v>4</v>
      </c>
      <c r="Q15" s="27"/>
      <c r="R15" s="27">
        <v>4</v>
      </c>
      <c r="S15" s="28"/>
      <c r="T15" s="34">
        <v>4</v>
      </c>
      <c r="U15" s="27"/>
      <c r="V15" s="27">
        <v>4</v>
      </c>
      <c r="W15" s="28"/>
      <c r="X15" s="34">
        <v>4</v>
      </c>
      <c r="Y15" s="27"/>
      <c r="Z15" s="27">
        <v>4</v>
      </c>
      <c r="AA15" s="27"/>
      <c r="AB15" s="27">
        <v>4</v>
      </c>
      <c r="AC15" s="28"/>
      <c r="AD15" s="34">
        <v>4</v>
      </c>
      <c r="AE15" s="27"/>
      <c r="AF15" s="27">
        <v>4</v>
      </c>
      <c r="AG15" s="27"/>
      <c r="AH15" s="27">
        <v>4</v>
      </c>
      <c r="AI15" s="28"/>
      <c r="AJ15" s="27">
        <v>4</v>
      </c>
      <c r="AK15" s="28"/>
    </row>
    <row r="16" spans="1:37" x14ac:dyDescent="0.35">
      <c r="A16" t="s">
        <v>42</v>
      </c>
      <c r="B16" s="34">
        <v>5</v>
      </c>
      <c r="C16" s="27"/>
      <c r="D16" s="27">
        <v>5</v>
      </c>
      <c r="E16" s="28"/>
      <c r="F16" s="34">
        <v>5</v>
      </c>
      <c r="G16" s="27"/>
      <c r="H16" s="27">
        <v>5</v>
      </c>
      <c r="I16" s="40"/>
      <c r="J16" s="34">
        <v>5</v>
      </c>
      <c r="K16" s="27"/>
      <c r="L16" s="27">
        <v>5</v>
      </c>
      <c r="M16" s="28"/>
      <c r="N16" s="34">
        <v>5</v>
      </c>
      <c r="O16" s="27"/>
      <c r="P16" s="27">
        <v>5</v>
      </c>
      <c r="Q16" s="27"/>
      <c r="R16" s="27">
        <v>5</v>
      </c>
      <c r="S16" s="28"/>
      <c r="T16" s="34">
        <v>5</v>
      </c>
      <c r="U16" s="27"/>
      <c r="V16" s="27">
        <v>5</v>
      </c>
      <c r="W16" s="28"/>
      <c r="X16" s="34">
        <v>5</v>
      </c>
      <c r="Y16" s="27"/>
      <c r="Z16" s="27">
        <v>5</v>
      </c>
      <c r="AA16" s="27"/>
      <c r="AB16" s="27">
        <v>5</v>
      </c>
      <c r="AC16" s="28"/>
      <c r="AD16" s="34">
        <v>5</v>
      </c>
      <c r="AE16" s="27"/>
      <c r="AF16" s="27">
        <v>5</v>
      </c>
      <c r="AG16" s="27"/>
      <c r="AH16" s="27">
        <v>5</v>
      </c>
      <c r="AI16" s="28"/>
      <c r="AJ16" s="27">
        <v>5</v>
      </c>
      <c r="AK16" s="28"/>
    </row>
    <row r="17" spans="1:37" x14ac:dyDescent="0.35">
      <c r="A17" t="s">
        <v>82</v>
      </c>
      <c r="B17" s="34">
        <v>6</v>
      </c>
      <c r="C17" s="27"/>
      <c r="D17" s="27">
        <v>6</v>
      </c>
      <c r="E17" s="28"/>
      <c r="F17" s="34">
        <v>6</v>
      </c>
      <c r="G17" s="27"/>
      <c r="H17" s="27">
        <v>6</v>
      </c>
      <c r="I17" s="40"/>
      <c r="J17" s="34">
        <v>6</v>
      </c>
      <c r="K17" s="27"/>
      <c r="L17" s="27">
        <v>6</v>
      </c>
      <c r="M17" s="28"/>
      <c r="N17" s="34">
        <v>6</v>
      </c>
      <c r="O17" s="27"/>
      <c r="P17" s="27">
        <v>6</v>
      </c>
      <c r="Q17" s="27"/>
      <c r="R17" s="27">
        <v>6</v>
      </c>
      <c r="S17" s="28"/>
      <c r="T17" s="34">
        <v>6</v>
      </c>
      <c r="U17" s="27"/>
      <c r="V17" s="27">
        <v>6</v>
      </c>
      <c r="W17" s="28"/>
      <c r="X17" s="34">
        <v>6</v>
      </c>
      <c r="Y17" s="27"/>
      <c r="Z17" s="27">
        <v>6</v>
      </c>
      <c r="AA17" s="27"/>
      <c r="AB17" s="27">
        <v>6</v>
      </c>
      <c r="AC17" s="28"/>
      <c r="AD17" s="34">
        <v>6</v>
      </c>
      <c r="AE17" s="27"/>
      <c r="AF17" s="27">
        <v>6</v>
      </c>
      <c r="AG17" s="27"/>
      <c r="AH17" s="27">
        <v>6</v>
      </c>
      <c r="AI17" s="28"/>
      <c r="AJ17" s="27">
        <v>6</v>
      </c>
      <c r="AK17" s="28"/>
    </row>
    <row r="18" spans="1:37" x14ac:dyDescent="0.35">
      <c r="A18" t="s">
        <v>91</v>
      </c>
      <c r="B18" s="34">
        <v>6</v>
      </c>
      <c r="C18" s="27"/>
      <c r="D18" s="27">
        <v>6</v>
      </c>
      <c r="E18" s="28"/>
      <c r="F18" s="34">
        <v>6</v>
      </c>
      <c r="G18" s="27"/>
      <c r="H18" s="27">
        <v>6</v>
      </c>
      <c r="I18" s="40"/>
      <c r="J18" s="34">
        <v>6</v>
      </c>
      <c r="K18" s="27"/>
      <c r="L18" s="27">
        <v>6</v>
      </c>
      <c r="M18" s="28"/>
      <c r="N18" s="34">
        <v>6</v>
      </c>
      <c r="O18" s="27"/>
      <c r="P18" s="27">
        <v>6</v>
      </c>
      <c r="Q18" s="27"/>
      <c r="R18" s="27">
        <v>6</v>
      </c>
      <c r="S18" s="28"/>
      <c r="T18" s="34">
        <v>6</v>
      </c>
      <c r="U18" s="27"/>
      <c r="V18" s="27">
        <v>6</v>
      </c>
      <c r="W18" s="28"/>
      <c r="X18" s="34">
        <v>6</v>
      </c>
      <c r="Y18" s="27"/>
      <c r="Z18" s="27">
        <v>6</v>
      </c>
      <c r="AA18" s="27"/>
      <c r="AB18" s="27">
        <v>6</v>
      </c>
      <c r="AC18" s="28"/>
      <c r="AD18" s="34">
        <v>6</v>
      </c>
      <c r="AE18" s="27"/>
      <c r="AF18" s="27">
        <v>6</v>
      </c>
      <c r="AG18" s="27"/>
      <c r="AH18" s="27">
        <v>6</v>
      </c>
      <c r="AI18" s="28"/>
      <c r="AJ18" s="27">
        <v>6</v>
      </c>
      <c r="AK18" s="28"/>
    </row>
    <row r="20" spans="1:37" x14ac:dyDescent="0.35">
      <c r="A20" t="s">
        <v>96</v>
      </c>
      <c r="B20">
        <v>3</v>
      </c>
      <c r="H20" t="s">
        <v>126</v>
      </c>
      <c r="I20" t="s">
        <v>35</v>
      </c>
    </row>
    <row r="21" spans="1:37" x14ac:dyDescent="0.35">
      <c r="A21" t="s">
        <v>98</v>
      </c>
      <c r="H21" t="s">
        <v>127</v>
      </c>
      <c r="I21">
        <v>1.2</v>
      </c>
    </row>
    <row r="22" spans="1:37" x14ac:dyDescent="0.35">
      <c r="A22" t="s">
        <v>99</v>
      </c>
      <c r="H22" t="s">
        <v>128</v>
      </c>
      <c r="I22">
        <v>5</v>
      </c>
    </row>
    <row r="23" spans="1:37" x14ac:dyDescent="0.35">
      <c r="A23" t="s">
        <v>97</v>
      </c>
      <c r="B23" t="str">
        <f>IF(B21&lt;&gt;"",CONCATENATE(B21,B20,B22),"None")</f>
        <v>None</v>
      </c>
      <c r="H23" t="s">
        <v>129</v>
      </c>
      <c r="I23">
        <v>1</v>
      </c>
    </row>
    <row r="24" spans="1:37" x14ac:dyDescent="0.35">
      <c r="H24" t="s">
        <v>130</v>
      </c>
      <c r="I24">
        <v>0.1</v>
      </c>
    </row>
    <row r="25" spans="1:37" x14ac:dyDescent="0.35">
      <c r="H25" t="s">
        <v>131</v>
      </c>
      <c r="I25" t="s">
        <v>41</v>
      </c>
    </row>
  </sheetData>
  <mergeCells count="4">
    <mergeCell ref="L9:M9"/>
    <mergeCell ref="P9:Q9"/>
    <mergeCell ref="D9:E9"/>
    <mergeCell ref="F9:G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_rosgen">
                <anchor moveWithCells="1">
                  <from>
                    <xdr:col>7</xdr:col>
                    <xdr:colOff>44450</xdr:colOff>
                    <xdr:row>25</xdr:row>
                    <xdr:rowOff>158750</xdr:rowOff>
                  </from>
                  <to>
                    <xdr:col>7</xdr:col>
                    <xdr:colOff>565150</xdr:colOff>
                    <xdr:row>27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zoomScale="60" zoomScaleNormal="60" workbookViewId="0">
      <selection activeCell="A6" sqref="A6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get_rosgen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527050</xdr:colOff>
                    <xdr:row>234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3"/>
  <sheetViews>
    <sheetView tabSelected="1" zoomScale="88" zoomScaleNormal="88" workbookViewId="0">
      <selection activeCell="D15" sqref="D15"/>
    </sheetView>
  </sheetViews>
  <sheetFormatPr defaultRowHeight="14.5" x14ac:dyDescent="0.35"/>
  <cols>
    <col min="1" max="1" width="23.453125" customWidth="1"/>
    <col min="2" max="2" width="17.08984375" customWidth="1"/>
    <col min="3" max="3" width="3.08984375" style="13" customWidth="1"/>
    <col min="4" max="4" width="25.453125" customWidth="1"/>
    <col min="5" max="5" width="6" customWidth="1"/>
    <col min="6" max="6" width="5.90625" customWidth="1"/>
    <col min="7" max="7" width="14.453125" customWidth="1"/>
    <col min="8" max="8" width="13.90625" customWidth="1"/>
    <col min="10" max="10" width="9.54296875" customWidth="1"/>
    <col min="11" max="11" width="10.08984375" customWidth="1"/>
    <col min="12" max="12" width="9.36328125" customWidth="1"/>
    <col min="13" max="13" width="11.7265625" customWidth="1"/>
    <col min="16" max="16" width="27.36328125" style="13" customWidth="1"/>
    <col min="18" max="18" width="13.6328125" customWidth="1"/>
    <col min="21" max="21" width="24.90625" customWidth="1"/>
  </cols>
  <sheetData>
    <row r="1" spans="1:21" x14ac:dyDescent="0.35">
      <c r="A1" s="6" t="s">
        <v>64</v>
      </c>
      <c r="B1" s="2">
        <v>3</v>
      </c>
      <c r="D1" s="1" t="s">
        <v>2</v>
      </c>
      <c r="E1" s="18" t="s">
        <v>61</v>
      </c>
      <c r="F1" s="18" t="s">
        <v>62</v>
      </c>
      <c r="G1" s="18" t="s">
        <v>16</v>
      </c>
      <c r="H1" s="18" t="s">
        <v>0</v>
      </c>
      <c r="I1" s="18" t="s">
        <v>1</v>
      </c>
      <c r="R1" s="1" t="s">
        <v>94</v>
      </c>
      <c r="U1" t="s">
        <v>88</v>
      </c>
    </row>
    <row r="2" spans="1:21" x14ac:dyDescent="0.35">
      <c r="A2" s="6" t="s">
        <v>65</v>
      </c>
      <c r="B2" s="2">
        <v>3</v>
      </c>
      <c r="D2" t="s">
        <v>6</v>
      </c>
      <c r="E2">
        <v>0</v>
      </c>
      <c r="F2">
        <v>0</v>
      </c>
      <c r="G2" s="2">
        <f t="shared" ref="G2:G10" si="0">SQRT((H3-H2)^2+(I3-I2)^2)</f>
        <v>1</v>
      </c>
      <c r="H2" s="2">
        <f>0</f>
        <v>0</v>
      </c>
      <c r="I2" s="2">
        <f>B3*2</f>
        <v>4</v>
      </c>
      <c r="U2" t="s">
        <v>89</v>
      </c>
    </row>
    <row r="3" spans="1:21" x14ac:dyDescent="0.35">
      <c r="A3" s="6" t="s">
        <v>29</v>
      </c>
      <c r="B3" s="2">
        <v>2</v>
      </c>
      <c r="D3" t="s">
        <v>15</v>
      </c>
      <c r="E3" s="2">
        <f>H3-H2</f>
        <v>1</v>
      </c>
      <c r="F3" s="2">
        <f>I3-I2</f>
        <v>0</v>
      </c>
      <c r="G3" s="2">
        <f t="shared" si="0"/>
        <v>6.324555320336759</v>
      </c>
      <c r="H3" s="2">
        <f>H2+1</f>
        <v>1</v>
      </c>
      <c r="I3" s="2">
        <f>B3*2</f>
        <v>4</v>
      </c>
      <c r="R3" t="s">
        <v>100</v>
      </c>
      <c r="S3" t="b">
        <v>1</v>
      </c>
    </row>
    <row r="4" spans="1:21" x14ac:dyDescent="0.35">
      <c r="A4" s="6" t="s">
        <v>32</v>
      </c>
      <c r="B4" s="2">
        <v>2</v>
      </c>
      <c r="D4" t="s">
        <v>14</v>
      </c>
      <c r="E4" s="2">
        <f t="shared" ref="E4:E11" si="1">H4-H3</f>
        <v>6</v>
      </c>
      <c r="F4" s="2">
        <f t="shared" ref="F4:F11" si="2">I4-I3</f>
        <v>-2</v>
      </c>
      <c r="G4" s="2">
        <f t="shared" si="0"/>
        <v>9.0999999999999979</v>
      </c>
      <c r="H4" s="2">
        <f>H3+B3*B6</f>
        <v>7</v>
      </c>
      <c r="I4" s="2">
        <f>B3</f>
        <v>2</v>
      </c>
      <c r="R4" t="s">
        <v>101</v>
      </c>
      <c r="S4" s="9" t="str">
        <f>IF(S3=TRUE,"On","Off")</f>
        <v>On</v>
      </c>
    </row>
    <row r="5" spans="1:21" x14ac:dyDescent="0.35">
      <c r="A5" s="12" t="s">
        <v>5</v>
      </c>
      <c r="B5" s="2">
        <v>2.2999999999999998</v>
      </c>
      <c r="D5" t="s">
        <v>13</v>
      </c>
      <c r="E5" s="2">
        <f t="shared" si="1"/>
        <v>9.0999999999999979</v>
      </c>
      <c r="F5" s="2">
        <f t="shared" si="2"/>
        <v>0</v>
      </c>
      <c r="G5" s="2">
        <f t="shared" si="0"/>
        <v>6.324555320336759</v>
      </c>
      <c r="H5" s="2">
        <f>H4+0.5*(B14-B13)</f>
        <v>16.099999999999998</v>
      </c>
      <c r="I5" s="2">
        <f>B3</f>
        <v>2</v>
      </c>
    </row>
    <row r="6" spans="1:21" x14ac:dyDescent="0.35">
      <c r="A6" s="12" t="s">
        <v>3</v>
      </c>
      <c r="B6" s="2">
        <v>3</v>
      </c>
      <c r="D6" t="s">
        <v>12</v>
      </c>
      <c r="E6" s="2">
        <f t="shared" si="1"/>
        <v>6</v>
      </c>
      <c r="F6" s="2">
        <f t="shared" si="2"/>
        <v>-2</v>
      </c>
      <c r="G6" s="2">
        <f t="shared" si="0"/>
        <v>2</v>
      </c>
      <c r="H6" s="2">
        <f>H5+B1*B3</f>
        <v>22.099999999999998</v>
      </c>
      <c r="I6" s="2">
        <v>0</v>
      </c>
      <c r="J6" s="2"/>
    </row>
    <row r="7" spans="1:21" x14ac:dyDescent="0.35">
      <c r="A7" s="12" t="s">
        <v>4</v>
      </c>
      <c r="B7" s="4">
        <v>3.5000000000000003E-2</v>
      </c>
      <c r="D7" t="s">
        <v>11</v>
      </c>
      <c r="E7" s="2">
        <f t="shared" si="1"/>
        <v>2</v>
      </c>
      <c r="F7" s="2">
        <f t="shared" si="2"/>
        <v>0</v>
      </c>
      <c r="G7" s="2">
        <f t="shared" si="0"/>
        <v>6.324555320336759</v>
      </c>
      <c r="H7" s="2">
        <f>H6+B4</f>
        <v>24.099999999999998</v>
      </c>
      <c r="I7" s="2">
        <v>0</v>
      </c>
    </row>
    <row r="8" spans="1:21" x14ac:dyDescent="0.35">
      <c r="A8" s="12" t="s">
        <v>90</v>
      </c>
      <c r="B8" s="4">
        <v>3.5000000000000003E-2</v>
      </c>
      <c r="D8" t="s">
        <v>10</v>
      </c>
      <c r="E8" s="2">
        <f t="shared" si="1"/>
        <v>6</v>
      </c>
      <c r="F8" s="2">
        <f t="shared" si="2"/>
        <v>2</v>
      </c>
      <c r="G8" s="2">
        <f t="shared" si="0"/>
        <v>9.0999999999999979</v>
      </c>
      <c r="H8" s="2">
        <f>H7+B2*B3</f>
        <v>30.099999999999998</v>
      </c>
      <c r="I8" s="2">
        <f>B3</f>
        <v>2</v>
      </c>
    </row>
    <row r="9" spans="1:21" x14ac:dyDescent="0.35">
      <c r="A9" s="11" t="s">
        <v>34</v>
      </c>
      <c r="B9" s="2">
        <v>1.1000000000000001</v>
      </c>
      <c r="D9" t="s">
        <v>9</v>
      </c>
      <c r="E9" s="2">
        <f t="shared" si="1"/>
        <v>9.0999999999999979</v>
      </c>
      <c r="F9" s="2">
        <f t="shared" si="2"/>
        <v>0</v>
      </c>
      <c r="G9" s="2">
        <f t="shared" si="0"/>
        <v>6.324555320336759</v>
      </c>
      <c r="H9" s="2">
        <f>H4+B14</f>
        <v>39.199999999999996</v>
      </c>
      <c r="I9" s="2">
        <f>B3</f>
        <v>2</v>
      </c>
    </row>
    <row r="10" spans="1:21" x14ac:dyDescent="0.35">
      <c r="A10" s="11" t="s">
        <v>63</v>
      </c>
      <c r="B10" s="8" t="s">
        <v>35</v>
      </c>
      <c r="D10" t="s">
        <v>8</v>
      </c>
      <c r="E10" s="2">
        <f t="shared" si="1"/>
        <v>6</v>
      </c>
      <c r="F10" s="2">
        <f t="shared" si="2"/>
        <v>2</v>
      </c>
      <c r="G10" s="2">
        <f t="shared" si="0"/>
        <v>1</v>
      </c>
      <c r="H10" s="2">
        <f>H9+B6*B3</f>
        <v>45.199999999999996</v>
      </c>
      <c r="I10" s="2">
        <f>B3*2</f>
        <v>4</v>
      </c>
    </row>
    <row r="11" spans="1:21" ht="15" thickBot="1" x14ac:dyDescent="0.4">
      <c r="A11" s="15" t="s">
        <v>52</v>
      </c>
      <c r="B11" s="16" t="s">
        <v>40</v>
      </c>
      <c r="D11" t="s">
        <v>7</v>
      </c>
      <c r="E11" s="2">
        <f t="shared" si="1"/>
        <v>1</v>
      </c>
      <c r="F11" s="2">
        <f t="shared" si="2"/>
        <v>0</v>
      </c>
      <c r="G11" s="3" t="s">
        <v>17</v>
      </c>
      <c r="H11" s="2">
        <f>H10+1</f>
        <v>46.199999999999996</v>
      </c>
      <c r="I11" s="2">
        <f>B3*2</f>
        <v>4</v>
      </c>
    </row>
    <row r="12" spans="1:21" ht="15" thickTop="1" x14ac:dyDescent="0.35">
      <c r="A12" s="5" t="s">
        <v>19</v>
      </c>
      <c r="B12" s="2">
        <f>0.5*((H8-H5)+B4)*B3</f>
        <v>16</v>
      </c>
    </row>
    <row r="13" spans="1:21" x14ac:dyDescent="0.35">
      <c r="A13" s="5" t="s">
        <v>18</v>
      </c>
      <c r="B13" s="2">
        <f>B1*B3+B2*B3+B4</f>
        <v>14</v>
      </c>
    </row>
    <row r="14" spans="1:21" x14ac:dyDescent="0.35">
      <c r="A14" s="5" t="s">
        <v>33</v>
      </c>
      <c r="B14" s="2">
        <f>B13*B5</f>
        <v>32.199999999999996</v>
      </c>
      <c r="D14" t="s">
        <v>133</v>
      </c>
    </row>
    <row r="15" spans="1:21" x14ac:dyDescent="0.35">
      <c r="A15" s="5" t="s">
        <v>87</v>
      </c>
      <c r="B15" s="2">
        <f>B13/B18</f>
        <v>12.25</v>
      </c>
      <c r="H15" s="1" t="s">
        <v>24</v>
      </c>
      <c r="I15" s="18" t="s">
        <v>25</v>
      </c>
      <c r="J15" s="18" t="s">
        <v>26</v>
      </c>
      <c r="K15" s="18" t="s">
        <v>27</v>
      </c>
      <c r="L15" s="18" t="s">
        <v>28</v>
      </c>
      <c r="M15" s="18" t="s">
        <v>31</v>
      </c>
      <c r="N15" s="1"/>
    </row>
    <row r="16" spans="1:21" x14ac:dyDescent="0.35">
      <c r="A16" s="5" t="s">
        <v>20</v>
      </c>
      <c r="B16" s="2">
        <f>G5+G6+G7</f>
        <v>14.64911064067352</v>
      </c>
      <c r="H16" t="s">
        <v>114</v>
      </c>
      <c r="I16" s="2">
        <f>B12</f>
        <v>16</v>
      </c>
      <c r="J16" s="2">
        <v>9.7279839372437902</v>
      </c>
      <c r="K16" s="7">
        <f t="shared" ref="K16:K18" si="3">I16/J16-1</f>
        <v>0.64473955787937376</v>
      </c>
      <c r="L16" s="2"/>
      <c r="N16" s="2"/>
      <c r="O16" s="2"/>
    </row>
    <row r="17" spans="1:16" x14ac:dyDescent="0.35">
      <c r="A17" s="5" t="s">
        <v>21</v>
      </c>
      <c r="B17" s="2">
        <f>B12/B16</f>
        <v>1.0922164759665145</v>
      </c>
      <c r="H17" t="s">
        <v>115</v>
      </c>
      <c r="I17" s="2">
        <f>B13</f>
        <v>14</v>
      </c>
      <c r="J17" s="2">
        <v>10.90403328719063</v>
      </c>
      <c r="K17" s="7">
        <f t="shared" si="3"/>
        <v>0.28392858232066431</v>
      </c>
      <c r="L17" s="2"/>
      <c r="N17" s="2"/>
      <c r="O17" s="2"/>
    </row>
    <row r="18" spans="1:16" x14ac:dyDescent="0.35">
      <c r="A18" s="5" t="s">
        <v>30</v>
      </c>
      <c r="B18" s="2">
        <f>B12/B13</f>
        <v>1.1428571428571428</v>
      </c>
      <c r="H18" t="s">
        <v>116</v>
      </c>
      <c r="I18" s="2">
        <f>B18</f>
        <v>1.1428571428571428</v>
      </c>
      <c r="J18" s="2">
        <v>0.89521611347516983</v>
      </c>
      <c r="K18" s="7">
        <f t="shared" si="3"/>
        <v>0.27662709110613171</v>
      </c>
      <c r="L18" s="2"/>
      <c r="N18" s="2"/>
    </row>
    <row r="19" spans="1:16" x14ac:dyDescent="0.35">
      <c r="A19" s="5" t="s">
        <v>23</v>
      </c>
      <c r="B19" s="2">
        <f>(1.49/B7)*B17^(2/3)*SQRT(B8)</f>
        <v>8.446784129414679</v>
      </c>
      <c r="H19" t="s">
        <v>117</v>
      </c>
      <c r="I19" s="2">
        <f>B20</f>
        <v>135.14854607063486</v>
      </c>
      <c r="J19" s="2">
        <v>18.190919744387077</v>
      </c>
      <c r="K19" s="7">
        <f>I19/J19-1</f>
        <v>6.4294509551852537</v>
      </c>
      <c r="L19" s="2"/>
      <c r="N19" s="2"/>
      <c r="P19" s="17"/>
    </row>
    <row r="20" spans="1:16" x14ac:dyDescent="0.35">
      <c r="A20" s="5" t="s">
        <v>22</v>
      </c>
      <c r="B20" s="2">
        <f>B12*B19</f>
        <v>135.14854607063486</v>
      </c>
      <c r="M20" s="1"/>
      <c r="N20" s="14"/>
    </row>
    <row r="21" spans="1:16" x14ac:dyDescent="0.35">
      <c r="A21" s="5" t="s">
        <v>66</v>
      </c>
      <c r="B21" s="2">
        <f>62.4271*B3*B8</f>
        <v>4.3698970000000008</v>
      </c>
    </row>
    <row r="22" spans="1:16" x14ac:dyDescent="0.35">
      <c r="A22" s="5" t="s">
        <v>53</v>
      </c>
      <c r="B22" s="8" t="str">
        <f>INDEX(Particle_Entrainment!A2:A20, MATCH(B21,Particle_Entrainment!B2:B20,-1)+1)</f>
        <v>Large Cobble</v>
      </c>
      <c r="G22" s="19"/>
      <c r="H22" s="19"/>
    </row>
    <row r="23" spans="1:16" x14ac:dyDescent="0.35">
      <c r="A23" s="5" t="str">
        <f>CONCATENATE("Rosgen Classification"," (",S4,")")</f>
        <v>Rosgen Classification (On)</v>
      </c>
      <c r="B23" s="8" t="s">
        <v>84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9" r:id="rId4" name="Check Box 107">
              <controlPr defaultSize="0" autoFill="0" autoLine="0" autoPict="0">
                <anchor moveWithCells="1">
                  <from>
                    <xdr:col>0</xdr:col>
                    <xdr:colOff>1504950</xdr:colOff>
                    <xdr:row>22</xdr:row>
                    <xdr:rowOff>57150</xdr:rowOff>
                  </from>
                  <to>
                    <xdr:col>1</xdr:col>
                    <xdr:colOff>38100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30"/>
  <sheetViews>
    <sheetView topLeftCell="A10" zoomScale="88" zoomScaleNormal="88" workbookViewId="0">
      <selection activeCell="B20" sqref="B20"/>
    </sheetView>
  </sheetViews>
  <sheetFormatPr defaultRowHeight="14.5" x14ac:dyDescent="0.35"/>
  <cols>
    <col min="1" max="1" width="23.453125" customWidth="1"/>
    <col min="2" max="2" width="17.08984375" customWidth="1"/>
    <col min="3" max="3" width="3.08984375" style="13" customWidth="1"/>
    <col min="4" max="4" width="25.453125" customWidth="1"/>
    <col min="5" max="5" width="6" customWidth="1"/>
    <col min="6" max="6" width="5.90625" customWidth="1"/>
    <col min="7" max="7" width="14.453125" customWidth="1"/>
    <col min="8" max="8" width="15.26953125" customWidth="1"/>
    <col min="10" max="10" width="9.54296875" customWidth="1"/>
    <col min="11" max="11" width="10.08984375" customWidth="1"/>
    <col min="12" max="12" width="9.36328125" customWidth="1"/>
    <col min="13" max="13" width="11.7265625" customWidth="1"/>
    <col min="16" max="16" width="27.36328125" style="13" customWidth="1"/>
    <col min="18" max="18" width="13.6328125" customWidth="1"/>
    <col min="21" max="21" width="24.90625" customWidth="1"/>
  </cols>
  <sheetData>
    <row r="1" spans="1:21" x14ac:dyDescent="0.35">
      <c r="A1" s="6" t="s">
        <v>64</v>
      </c>
      <c r="B1" s="2">
        <v>3</v>
      </c>
      <c r="D1" s="1" t="s">
        <v>2</v>
      </c>
      <c r="E1" s="18" t="s">
        <v>61</v>
      </c>
      <c r="F1" s="18" t="s">
        <v>62</v>
      </c>
      <c r="G1" s="18" t="s">
        <v>16</v>
      </c>
      <c r="H1" s="18" t="s">
        <v>0</v>
      </c>
      <c r="I1" s="18" t="s">
        <v>1</v>
      </c>
      <c r="U1" t="s">
        <v>88</v>
      </c>
    </row>
    <row r="2" spans="1:21" x14ac:dyDescent="0.35">
      <c r="A2" s="6" t="s">
        <v>65</v>
      </c>
      <c r="B2" s="2">
        <v>3</v>
      </c>
      <c r="D2" t="s">
        <v>6</v>
      </c>
      <c r="E2">
        <v>0</v>
      </c>
      <c r="F2">
        <v>0</v>
      </c>
      <c r="G2" s="2">
        <f t="shared" ref="G2:G14" si="0">SQRT((H3-H2)^2+(I3-I2)^2)</f>
        <v>1</v>
      </c>
      <c r="H2" s="2">
        <f>0</f>
        <v>0</v>
      </c>
      <c r="I2" s="2">
        <f>B3*2</f>
        <v>10</v>
      </c>
      <c r="R2" s="1" t="s">
        <v>94</v>
      </c>
      <c r="U2" t="s">
        <v>89</v>
      </c>
    </row>
    <row r="3" spans="1:21" x14ac:dyDescent="0.35">
      <c r="A3" s="6" t="s">
        <v>29</v>
      </c>
      <c r="B3" s="2">
        <v>5</v>
      </c>
      <c r="D3" t="s">
        <v>15</v>
      </c>
      <c r="E3" s="2">
        <f>H3-H2</f>
        <v>1</v>
      </c>
      <c r="F3" s="2">
        <f>I3-I2</f>
        <v>0</v>
      </c>
      <c r="G3" s="2">
        <f t="shared" si="0"/>
        <v>15.811388300841896</v>
      </c>
      <c r="H3" s="2">
        <f>H2+1</f>
        <v>1</v>
      </c>
      <c r="I3" s="2">
        <f>B3*2</f>
        <v>10</v>
      </c>
      <c r="R3" t="s">
        <v>100</v>
      </c>
      <c r="S3" t="b">
        <v>0</v>
      </c>
    </row>
    <row r="4" spans="1:21" x14ac:dyDescent="0.35">
      <c r="A4" s="6" t="s">
        <v>32</v>
      </c>
      <c r="B4" s="2">
        <v>1</v>
      </c>
      <c r="D4" t="s">
        <v>14</v>
      </c>
      <c r="E4" s="2">
        <f t="shared" ref="E4:E15" si="1">H4-H3</f>
        <v>15</v>
      </c>
      <c r="F4" s="2">
        <f t="shared" ref="F4:F15" si="2">I4-I3</f>
        <v>-5</v>
      </c>
      <c r="G4" s="2">
        <f t="shared" si="0"/>
        <v>18.600000000000001</v>
      </c>
      <c r="H4" s="2">
        <f>H3+B3*B12</f>
        <v>16</v>
      </c>
      <c r="I4" s="2">
        <f>B3</f>
        <v>5</v>
      </c>
      <c r="R4" t="s">
        <v>101</v>
      </c>
      <c r="S4" s="9" t="str">
        <f>IF(S3=TRUE,"On","Off")</f>
        <v>Off</v>
      </c>
    </row>
    <row r="5" spans="1:21" x14ac:dyDescent="0.35">
      <c r="A5" s="20" t="s">
        <v>102</v>
      </c>
      <c r="B5" s="2">
        <v>3</v>
      </c>
      <c r="D5" t="s">
        <v>13</v>
      </c>
      <c r="E5" s="2">
        <f t="shared" si="1"/>
        <v>18.600000000000001</v>
      </c>
      <c r="F5" s="2">
        <f t="shared" si="2"/>
        <v>0</v>
      </c>
      <c r="G5" s="2">
        <f t="shared" si="0"/>
        <v>8.9442719099991592</v>
      </c>
      <c r="H5" s="2">
        <f>H4+0.5*(B21-B20)</f>
        <v>34.6</v>
      </c>
      <c r="I5" s="2">
        <f>B3</f>
        <v>5</v>
      </c>
      <c r="R5" t="s">
        <v>118</v>
      </c>
    </row>
    <row r="6" spans="1:21" x14ac:dyDescent="0.35">
      <c r="A6" s="20" t="s">
        <v>103</v>
      </c>
      <c r="B6" s="2">
        <v>1</v>
      </c>
      <c r="D6" t="s">
        <v>110</v>
      </c>
      <c r="E6" s="2">
        <f t="shared" si="1"/>
        <v>8</v>
      </c>
      <c r="F6" s="2">
        <f t="shared" si="2"/>
        <v>-4</v>
      </c>
      <c r="G6" s="2">
        <f t="shared" si="0"/>
        <v>4</v>
      </c>
      <c r="H6" s="2">
        <f>H7-B7</f>
        <v>42.6</v>
      </c>
      <c r="I6" s="2">
        <f>B9</f>
        <v>1</v>
      </c>
      <c r="J6" s="2"/>
      <c r="R6" t="s">
        <v>119</v>
      </c>
    </row>
    <row r="7" spans="1:21" x14ac:dyDescent="0.35">
      <c r="A7" s="20" t="s">
        <v>104</v>
      </c>
      <c r="B7" s="2">
        <v>4</v>
      </c>
      <c r="D7" t="s">
        <v>111</v>
      </c>
      <c r="E7" s="2">
        <f t="shared" si="1"/>
        <v>4</v>
      </c>
      <c r="F7" s="2">
        <f t="shared" si="2"/>
        <v>0</v>
      </c>
      <c r="G7" s="2">
        <f t="shared" si="0"/>
        <v>3.1622776601683795</v>
      </c>
      <c r="H7">
        <f>H8-(B9*B5)</f>
        <v>46.6</v>
      </c>
      <c r="I7" s="2">
        <f>B9</f>
        <v>1</v>
      </c>
    </row>
    <row r="8" spans="1:21" x14ac:dyDescent="0.35">
      <c r="A8" s="20" t="s">
        <v>105</v>
      </c>
      <c r="B8" s="2">
        <v>8</v>
      </c>
      <c r="D8" t="s">
        <v>12</v>
      </c>
      <c r="E8" s="2">
        <f t="shared" si="1"/>
        <v>3</v>
      </c>
      <c r="F8" s="2">
        <f t="shared" si="2"/>
        <v>-1</v>
      </c>
      <c r="G8" s="2">
        <f t="shared" si="0"/>
        <v>1</v>
      </c>
      <c r="H8" s="2">
        <f>H5+B1*B3</f>
        <v>49.6</v>
      </c>
      <c r="I8" s="2">
        <v>0</v>
      </c>
    </row>
    <row r="9" spans="1:21" x14ac:dyDescent="0.35">
      <c r="A9" s="20" t="s">
        <v>106</v>
      </c>
      <c r="B9" s="2">
        <v>1</v>
      </c>
      <c r="D9" t="s">
        <v>11</v>
      </c>
      <c r="E9" s="2">
        <f t="shared" si="1"/>
        <v>1</v>
      </c>
      <c r="F9" s="2">
        <f t="shared" si="2"/>
        <v>0</v>
      </c>
      <c r="G9" s="2">
        <f t="shared" si="0"/>
        <v>4.2426406871192848</v>
      </c>
      <c r="H9" s="2">
        <f>H8+B4</f>
        <v>50.6</v>
      </c>
      <c r="I9" s="2">
        <v>0</v>
      </c>
    </row>
    <row r="10" spans="1:21" x14ac:dyDescent="0.35">
      <c r="A10" s="20" t="s">
        <v>107</v>
      </c>
      <c r="B10" s="2">
        <v>3</v>
      </c>
      <c r="D10" t="s">
        <v>112</v>
      </c>
      <c r="E10" s="2">
        <f t="shared" si="1"/>
        <v>3</v>
      </c>
      <c r="F10" s="2">
        <f t="shared" si="2"/>
        <v>3</v>
      </c>
      <c r="G10" s="2">
        <f t="shared" si="0"/>
        <v>8</v>
      </c>
      <c r="H10">
        <f>H9+B10*B6</f>
        <v>53.6</v>
      </c>
      <c r="I10" s="2">
        <f>B10</f>
        <v>3</v>
      </c>
    </row>
    <row r="11" spans="1:21" x14ac:dyDescent="0.35">
      <c r="A11" s="12" t="s">
        <v>5</v>
      </c>
      <c r="B11" s="2">
        <v>2.2000000000000002</v>
      </c>
      <c r="D11" t="s">
        <v>113</v>
      </c>
      <c r="E11" s="2">
        <f t="shared" si="1"/>
        <v>8</v>
      </c>
      <c r="F11" s="2">
        <f t="shared" si="2"/>
        <v>0</v>
      </c>
      <c r="G11" s="2">
        <f t="shared" si="0"/>
        <v>4.4721359549995734</v>
      </c>
      <c r="H11" s="2">
        <f>H10+B8</f>
        <v>61.6</v>
      </c>
      <c r="I11" s="2">
        <f>B10</f>
        <v>3</v>
      </c>
    </row>
    <row r="12" spans="1:21" x14ac:dyDescent="0.35">
      <c r="A12" s="12" t="s">
        <v>108</v>
      </c>
      <c r="B12" s="2">
        <v>3</v>
      </c>
      <c r="D12" t="s">
        <v>10</v>
      </c>
      <c r="E12" s="2">
        <f t="shared" si="1"/>
        <v>3.9999999999999929</v>
      </c>
      <c r="F12" s="2">
        <f t="shared" si="2"/>
        <v>2</v>
      </c>
      <c r="G12" s="2">
        <f t="shared" si="0"/>
        <v>18.600000000000009</v>
      </c>
      <c r="H12" s="2">
        <f>H9+B2*B3</f>
        <v>65.599999999999994</v>
      </c>
      <c r="I12" s="2">
        <f>B3</f>
        <v>5</v>
      </c>
    </row>
    <row r="13" spans="1:21" x14ac:dyDescent="0.35">
      <c r="A13" s="12" t="s">
        <v>109</v>
      </c>
      <c r="B13" s="2">
        <v>5</v>
      </c>
      <c r="D13" t="s">
        <v>9</v>
      </c>
      <c r="E13" s="2">
        <f t="shared" si="1"/>
        <v>18.600000000000009</v>
      </c>
      <c r="F13" s="2">
        <f t="shared" si="2"/>
        <v>0</v>
      </c>
      <c r="G13" s="2">
        <f t="shared" si="0"/>
        <v>25.495097567963924</v>
      </c>
      <c r="H13" s="2">
        <f>H4+B21</f>
        <v>84.2</v>
      </c>
      <c r="I13" s="2">
        <f>B3</f>
        <v>5</v>
      </c>
    </row>
    <row r="14" spans="1:21" x14ac:dyDescent="0.35">
      <c r="A14" s="12" t="s">
        <v>4</v>
      </c>
      <c r="B14" s="4">
        <v>3.5000000000000003E-2</v>
      </c>
      <c r="D14" t="s">
        <v>8</v>
      </c>
      <c r="E14" s="2">
        <f t="shared" si="1"/>
        <v>25</v>
      </c>
      <c r="F14" s="2">
        <f t="shared" si="2"/>
        <v>5</v>
      </c>
      <c r="G14" s="2">
        <f t="shared" si="0"/>
        <v>1</v>
      </c>
      <c r="H14" s="2">
        <f>H13+B13*B3</f>
        <v>109.2</v>
      </c>
      <c r="I14" s="2">
        <f>B3*2</f>
        <v>10</v>
      </c>
    </row>
    <row r="15" spans="1:21" x14ac:dyDescent="0.35">
      <c r="A15" s="12" t="s">
        <v>90</v>
      </c>
      <c r="B15" s="4">
        <v>0.01</v>
      </c>
      <c r="D15" t="s">
        <v>7</v>
      </c>
      <c r="E15" s="2">
        <f t="shared" si="1"/>
        <v>1</v>
      </c>
      <c r="F15" s="2">
        <f t="shared" si="2"/>
        <v>0</v>
      </c>
      <c r="G15" s="3" t="s">
        <v>17</v>
      </c>
      <c r="H15" s="2">
        <f>H14+1</f>
        <v>110.2</v>
      </c>
      <c r="I15" s="2">
        <f>B3*2</f>
        <v>10</v>
      </c>
      <c r="N15" s="1"/>
    </row>
    <row r="16" spans="1:21" x14ac:dyDescent="0.35">
      <c r="A16" s="11" t="s">
        <v>34</v>
      </c>
      <c r="B16" s="2">
        <v>1.3</v>
      </c>
      <c r="N16" s="2"/>
      <c r="O16" s="2"/>
    </row>
    <row r="17" spans="1:16" x14ac:dyDescent="0.35">
      <c r="A17" s="11" t="s">
        <v>63</v>
      </c>
      <c r="B17" s="8" t="s">
        <v>35</v>
      </c>
      <c r="H17" s="1" t="s">
        <v>24</v>
      </c>
      <c r="I17" s="18" t="s">
        <v>25</v>
      </c>
      <c r="J17" s="18" t="s">
        <v>26</v>
      </c>
      <c r="K17" s="18" t="s">
        <v>27</v>
      </c>
      <c r="L17" s="18" t="s">
        <v>28</v>
      </c>
      <c r="M17" s="18" t="s">
        <v>31</v>
      </c>
      <c r="N17" s="2"/>
      <c r="O17" s="2"/>
    </row>
    <row r="18" spans="1:16" ht="15" thickBot="1" x14ac:dyDescent="0.4">
      <c r="A18" s="15" t="s">
        <v>52</v>
      </c>
      <c r="B18" s="16" t="s">
        <v>38</v>
      </c>
      <c r="H18" t="s">
        <v>114</v>
      </c>
      <c r="I18" s="2">
        <f>B19</f>
        <v>79.999999999999986</v>
      </c>
      <c r="J18" s="2">
        <v>9.7279839372437902</v>
      </c>
      <c r="K18" s="7">
        <f>I18/J18-1</f>
        <v>7.2236977893968675</v>
      </c>
      <c r="L18" s="2"/>
      <c r="N18" s="2"/>
    </row>
    <row r="19" spans="1:16" ht="15" thickTop="1" x14ac:dyDescent="0.35">
      <c r="A19" s="5" t="s">
        <v>19</v>
      </c>
      <c r="B19" s="2">
        <f>0.5*((H12-H5)+B4)*B3</f>
        <v>79.999999999999986</v>
      </c>
      <c r="D19" t="s">
        <v>120</v>
      </c>
      <c r="H19" t="s">
        <v>115</v>
      </c>
      <c r="I19" s="2">
        <f>B20</f>
        <v>31</v>
      </c>
      <c r="J19" s="2">
        <v>10.90403328719063</v>
      </c>
      <c r="K19" s="7">
        <f>I19/J19-1</f>
        <v>1.842984717995757</v>
      </c>
      <c r="L19" s="2"/>
      <c r="N19" s="2"/>
      <c r="P19" s="17"/>
    </row>
    <row r="20" spans="1:16" x14ac:dyDescent="0.35">
      <c r="A20" s="5" t="s">
        <v>18</v>
      </c>
      <c r="B20" s="2">
        <f>B1*B3+B2*B3+B4</f>
        <v>31</v>
      </c>
      <c r="H20" t="s">
        <v>116</v>
      </c>
      <c r="I20" s="2">
        <f>B25</f>
        <v>2.5806451612903221</v>
      </c>
      <c r="J20" s="2">
        <v>0.89521611347516983</v>
      </c>
      <c r="K20" s="7">
        <f>I20/J20-1</f>
        <v>1.8827063347557811</v>
      </c>
      <c r="L20" s="2"/>
      <c r="N20" s="14"/>
    </row>
    <row r="21" spans="1:16" x14ac:dyDescent="0.35">
      <c r="A21" s="5" t="s">
        <v>33</v>
      </c>
      <c r="B21" s="2">
        <f>B20*B11</f>
        <v>68.2</v>
      </c>
      <c r="H21" t="s">
        <v>117</v>
      </c>
      <c r="I21" s="2">
        <f>B27</f>
        <v>1078.9705896974065</v>
      </c>
      <c r="J21" s="2">
        <v>18.190919744387077</v>
      </c>
      <c r="K21" s="7">
        <f>I21/J21-1</f>
        <v>58.313690833600077</v>
      </c>
      <c r="L21" s="2"/>
    </row>
    <row r="22" spans="1:16" x14ac:dyDescent="0.35">
      <c r="A22" s="5" t="s">
        <v>87</v>
      </c>
      <c r="B22" s="2">
        <f>B20/B25</f>
        <v>12.012500000000003</v>
      </c>
    </row>
    <row r="23" spans="1:16" x14ac:dyDescent="0.35">
      <c r="A23" s="5" t="s">
        <v>20</v>
      </c>
      <c r="B23" s="2">
        <f>G5+G8+G9</f>
        <v>14.186912597118443</v>
      </c>
    </row>
    <row r="24" spans="1:16" x14ac:dyDescent="0.35">
      <c r="A24" s="5" t="s">
        <v>21</v>
      </c>
      <c r="B24" s="2">
        <f>B19/B23</f>
        <v>5.6389999904735495</v>
      </c>
    </row>
    <row r="25" spans="1:16" x14ac:dyDescent="0.35">
      <c r="A25" s="5" t="s">
        <v>30</v>
      </c>
      <c r="B25" s="2">
        <f>B19/B20</f>
        <v>2.5806451612903221</v>
      </c>
    </row>
    <row r="26" spans="1:16" x14ac:dyDescent="0.35">
      <c r="A26" s="5" t="s">
        <v>23</v>
      </c>
      <c r="B26" s="2">
        <f>(1.49/B14)*B24^(2/3)*SQRT(B15)</f>
        <v>13.487132371217584</v>
      </c>
      <c r="G26" s="19"/>
      <c r="H26" s="19"/>
    </row>
    <row r="27" spans="1:16" x14ac:dyDescent="0.35">
      <c r="A27" s="5" t="s">
        <v>22</v>
      </c>
      <c r="B27" s="2">
        <f>B19*B26</f>
        <v>1078.9705896974065</v>
      </c>
    </row>
    <row r="28" spans="1:16" x14ac:dyDescent="0.35">
      <c r="A28" s="5" t="s">
        <v>66</v>
      </c>
      <c r="B28" s="2">
        <f>62.4271*B3*B15</f>
        <v>3.1213550000000003</v>
      </c>
    </row>
    <row r="29" spans="1:16" x14ac:dyDescent="0.35">
      <c r="A29" s="5" t="s">
        <v>53</v>
      </c>
      <c r="B29" s="8" t="str">
        <f>INDEX(Particle_Entrainment!A2:A20, MATCH(B28,Particle_Entrainment!B2:B20,-1)+1)</f>
        <v>Large Cobble</v>
      </c>
    </row>
    <row r="30" spans="1:16" x14ac:dyDescent="0.35">
      <c r="A30" s="5" t="str">
        <f>CONCATENATE("Rosgen Classification"," (",S4,")")</f>
        <v>Rosgen Classification (Off)</v>
      </c>
      <c r="B30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</xdr:col>
                    <xdr:colOff>25400</xdr:colOff>
                    <xdr:row>29</xdr:row>
                    <xdr:rowOff>57150</xdr:rowOff>
                  </from>
                  <to>
                    <xdr:col>1</xdr:col>
                    <xdr:colOff>196850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Particle_Entrainment</vt:lpstr>
      <vt:lpstr>Rosgen_Lookups</vt:lpstr>
      <vt:lpstr>Rosgen_Copy</vt:lpstr>
      <vt:lpstr>XS</vt:lpstr>
      <vt:lpstr>XS_wBench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2018-11-02T17:09:31Z</dcterms:modified>
</cp:coreProperties>
</file>