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Vegetation_Tools\"/>
    </mc:Choice>
  </mc:AlternateContent>
  <bookViews>
    <workbookView xWindow="0" yWindow="0" windowWidth="19200" windowHeight="7320" activeTab="1"/>
  </bookViews>
  <sheets>
    <sheet name="Woody" sheetId="1" r:id="rId1"/>
    <sheet name="Coverage" sheetId="3" r:id="rId2"/>
    <sheet name="PlantList" sheetId="2" r:id="rId3"/>
    <sheet name="RWT" sheetId="4" state="hidden" r:id="rId4"/>
    <sheet name="RCT" sheetId="5" state="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6" i="1"/>
  <c r="B2" i="4" l="1"/>
  <c r="B1" i="5"/>
  <c r="F12" i="3"/>
  <c r="F7" i="3"/>
  <c r="F5" i="3"/>
  <c r="S4" i="1" l="1"/>
  <c r="R5" i="1"/>
  <c r="S5" i="1"/>
  <c r="C6" i="3" l="1"/>
  <c r="D6" i="3"/>
  <c r="E6" i="3"/>
  <c r="F6" i="3"/>
  <c r="C7" i="3"/>
  <c r="D7" i="3"/>
  <c r="E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48" i="3"/>
  <c r="D48" i="3"/>
  <c r="E48" i="3"/>
  <c r="F48" i="3"/>
  <c r="C49" i="3"/>
  <c r="D49" i="3"/>
  <c r="E49" i="3"/>
  <c r="F49" i="3"/>
  <c r="C50" i="3"/>
  <c r="D50" i="3"/>
  <c r="E50" i="3"/>
  <c r="F50" i="3"/>
  <c r="C51" i="3"/>
  <c r="D51" i="3"/>
  <c r="E51" i="3"/>
  <c r="F51" i="3"/>
  <c r="C52" i="3"/>
  <c r="D52" i="3"/>
  <c r="E52" i="3"/>
  <c r="F52" i="3"/>
  <c r="C53" i="3"/>
  <c r="D53" i="3"/>
  <c r="E53" i="3"/>
  <c r="F53" i="3"/>
  <c r="C54" i="3"/>
  <c r="D54" i="3"/>
  <c r="E54" i="3"/>
  <c r="F54" i="3"/>
  <c r="C55" i="3"/>
  <c r="D55" i="3"/>
  <c r="E55" i="3"/>
  <c r="F55" i="3"/>
  <c r="C56" i="3"/>
  <c r="D56" i="3"/>
  <c r="E56" i="3"/>
  <c r="F56" i="3"/>
  <c r="C57" i="3"/>
  <c r="D57" i="3"/>
  <c r="E57" i="3"/>
  <c r="F57" i="3"/>
  <c r="C58" i="3"/>
  <c r="D58" i="3"/>
  <c r="E58" i="3"/>
  <c r="F58" i="3"/>
  <c r="C59" i="3"/>
  <c r="D59" i="3"/>
  <c r="E59" i="3"/>
  <c r="F59" i="3"/>
  <c r="C60" i="3"/>
  <c r="D60" i="3"/>
  <c r="E60" i="3"/>
  <c r="F60" i="3"/>
  <c r="C61" i="3"/>
  <c r="D61" i="3"/>
  <c r="E61" i="3"/>
  <c r="F61" i="3"/>
  <c r="C62" i="3"/>
  <c r="D62" i="3"/>
  <c r="E62" i="3"/>
  <c r="F62" i="3"/>
  <c r="C63" i="3"/>
  <c r="D63" i="3"/>
  <c r="E63" i="3"/>
  <c r="F63" i="3"/>
  <c r="C64" i="3"/>
  <c r="D64" i="3"/>
  <c r="E64" i="3"/>
  <c r="F64" i="3"/>
  <c r="C65" i="3"/>
  <c r="D65" i="3"/>
  <c r="E65" i="3"/>
  <c r="F65" i="3"/>
  <c r="C66" i="3"/>
  <c r="D66" i="3"/>
  <c r="E66" i="3"/>
  <c r="F66" i="3"/>
  <c r="C67" i="3"/>
  <c r="D67" i="3"/>
  <c r="E67" i="3"/>
  <c r="F67" i="3"/>
  <c r="C68" i="3"/>
  <c r="D68" i="3"/>
  <c r="E68" i="3"/>
  <c r="F68" i="3"/>
  <c r="C69" i="3"/>
  <c r="D69" i="3"/>
  <c r="E69" i="3"/>
  <c r="F69" i="3"/>
  <c r="C70" i="3"/>
  <c r="D70" i="3"/>
  <c r="E70" i="3"/>
  <c r="F70" i="3"/>
  <c r="C71" i="3"/>
  <c r="D71" i="3"/>
  <c r="E71" i="3"/>
  <c r="F71" i="3"/>
  <c r="C72" i="3"/>
  <c r="D72" i="3"/>
  <c r="E72" i="3"/>
  <c r="F72" i="3"/>
  <c r="C73" i="3"/>
  <c r="D73" i="3"/>
  <c r="E73" i="3"/>
  <c r="F73" i="3"/>
  <c r="C74" i="3"/>
  <c r="D74" i="3"/>
  <c r="E74" i="3"/>
  <c r="F74" i="3"/>
  <c r="C75" i="3"/>
  <c r="D75" i="3"/>
  <c r="E75" i="3"/>
  <c r="F75" i="3"/>
  <c r="C76" i="3"/>
  <c r="D76" i="3"/>
  <c r="E76" i="3"/>
  <c r="F76" i="3"/>
  <c r="C77" i="3"/>
  <c r="D77" i="3"/>
  <c r="E77" i="3"/>
  <c r="F77" i="3"/>
  <c r="C78" i="3"/>
  <c r="D78" i="3"/>
  <c r="E78" i="3"/>
  <c r="F78" i="3"/>
  <c r="C79" i="3"/>
  <c r="D79" i="3"/>
  <c r="E79" i="3"/>
  <c r="F79" i="3"/>
  <c r="C80" i="3"/>
  <c r="D80" i="3"/>
  <c r="E80" i="3"/>
  <c r="F80" i="3"/>
  <c r="C81" i="3"/>
  <c r="D81" i="3"/>
  <c r="E81" i="3"/>
  <c r="F81" i="3"/>
  <c r="C82" i="3"/>
  <c r="D82" i="3"/>
  <c r="E82" i="3"/>
  <c r="F82" i="3"/>
  <c r="C83" i="3"/>
  <c r="D83" i="3"/>
  <c r="E83" i="3"/>
  <c r="F83" i="3"/>
  <c r="C84" i="3"/>
  <c r="D84" i="3"/>
  <c r="E84" i="3"/>
  <c r="F84" i="3"/>
  <c r="C85" i="3"/>
  <c r="D85" i="3"/>
  <c r="E85" i="3"/>
  <c r="F85" i="3"/>
  <c r="C86" i="3"/>
  <c r="D86" i="3"/>
  <c r="E86" i="3"/>
  <c r="F86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E5" i="3"/>
  <c r="D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G5" i="1"/>
  <c r="H5" i="1"/>
  <c r="I5" i="1"/>
  <c r="J5" i="1"/>
  <c r="K5" i="1"/>
  <c r="L5" i="1"/>
  <c r="M5" i="1"/>
  <c r="N5" i="1"/>
  <c r="O5" i="1"/>
  <c r="P5" i="1"/>
  <c r="Q5" i="1"/>
  <c r="F5" i="1"/>
  <c r="C6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J1" i="1" l="1"/>
  <c r="X3" i="1"/>
  <c r="X4" i="1" s="1"/>
  <c r="B2" i="3"/>
  <c r="B1" i="3" s="1"/>
  <c r="B3" i="3"/>
  <c r="V3" i="1"/>
  <c r="V4" i="1" s="1"/>
  <c r="W3" i="1"/>
  <c r="W4" i="1" s="1"/>
  <c r="F1" i="1"/>
  <c r="H1" i="1"/>
  <c r="G4" i="1"/>
  <c r="H4" i="1"/>
  <c r="I4" i="1"/>
  <c r="J4" i="1"/>
  <c r="K4" i="1"/>
  <c r="L4" i="1"/>
  <c r="M4" i="1"/>
  <c r="N4" i="1"/>
  <c r="O4" i="1"/>
  <c r="P4" i="1"/>
  <c r="Q4" i="1"/>
  <c r="R4" i="1"/>
  <c r="F4" i="1"/>
</calcChain>
</file>

<file path=xl/comments1.xml><?xml version="1.0" encoding="utf-8"?>
<comments xmlns="http://schemas.openxmlformats.org/spreadsheetml/2006/main">
  <authors>
    <author>Sky Jones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This column countains the number of unbounded size trees in each row - do not edit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Min height: 10cm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Min height: 3.9in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Write DBH for each tree over 40cm/15.7in beginning in this column. Header is mean dbh of class</t>
        </r>
      </text>
    </comment>
  </commentList>
</comments>
</file>

<file path=xl/sharedStrings.xml><?xml version="1.0" encoding="utf-8"?>
<sst xmlns="http://schemas.openxmlformats.org/spreadsheetml/2006/main" count="12049" uniqueCount="11913">
  <si>
    <t>Code</t>
  </si>
  <si>
    <t>Scientific Name</t>
  </si>
  <si>
    <t>Common Name</t>
  </si>
  <si>
    <t>isTree</t>
  </si>
  <si>
    <t>isShrub</t>
  </si>
  <si>
    <t>isHerb</t>
  </si>
  <si>
    <t>isInvasive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</si>
  <si>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</si>
  <si>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</si>
  <si>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</si>
  <si>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</si>
  <si>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</si>
  <si>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</si>
  <si>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</si>
  <si>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</si>
  <si>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</si>
  <si>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</si>
  <si>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</si>
  <si>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</si>
  <si>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</si>
  <si>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</si>
  <si>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</si>
  <si>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</si>
  <si>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</si>
  <si>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</si>
  <si>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</si>
  <si>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</si>
  <si>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</si>
  <si>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</si>
  <si>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</si>
  <si>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</si>
  <si>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</si>
  <si>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</si>
  <si>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</si>
  <si>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</si>
  <si>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</si>
  <si>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</si>
  <si>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</si>
  <si>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</si>
  <si>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</si>
  <si>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</si>
  <si>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</si>
  <si>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</si>
  <si>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</si>
  <si>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</si>
  <si>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</si>
  <si>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</si>
  <si>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</si>
  <si>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</si>
  <si>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</si>
  <si>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</si>
  <si>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</si>
  <si>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</si>
  <si>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</si>
  <si>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</si>
  <si>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</si>
  <si>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Acer negundo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</si>
  <si>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</si>
  <si>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</si>
  <si>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</si>
  <si>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</si>
  <si>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</si>
  <si>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</si>
  <si>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</si>
  <si>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</si>
  <si>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</si>
  <si>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</si>
  <si>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</si>
  <si>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</si>
  <si>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</si>
  <si>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</si>
  <si>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</si>
  <si>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</si>
  <si>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</si>
  <si>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</si>
  <si>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</si>
  <si>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</si>
  <si>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</si>
  <si>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</si>
  <si>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</si>
  <si>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</si>
  <si>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</si>
  <si>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</si>
  <si>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</si>
  <si>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</si>
  <si>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</si>
  <si>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</si>
  <si>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</si>
  <si>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</si>
  <si>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</si>
  <si>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</si>
  <si>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</si>
  <si>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</si>
  <si>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</si>
  <si>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</si>
  <si>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</si>
  <si>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</si>
  <si>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</si>
  <si>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</si>
  <si>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</si>
  <si>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</si>
  <si>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</si>
  <si>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</si>
  <si>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</si>
  <si>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</si>
  <si>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</si>
  <si>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</si>
  <si>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</si>
  <si>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</si>
  <si>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</si>
  <si>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</si>
  <si>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</si>
  <si>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</si>
  <si>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</si>
  <si>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</si>
  <si>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</si>
  <si>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</si>
  <si>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</si>
  <si>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</si>
  <si>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</si>
  <si>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</si>
  <si>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</si>
  <si>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</si>
  <si>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</si>
  <si>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</si>
  <si>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</si>
  <si>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</si>
  <si>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</si>
  <si>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</si>
  <si>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</si>
  <si>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</si>
  <si>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</si>
  <si>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</si>
  <si>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</si>
  <si>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</si>
  <si>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</si>
  <si>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</si>
  <si>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</si>
  <si>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</si>
  <si>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</si>
  <si>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</si>
  <si>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</si>
  <si>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</si>
  <si>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</si>
  <si>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</si>
  <si>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</si>
  <si>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</si>
  <si>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</si>
  <si>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</si>
  <si>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</si>
  <si>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</si>
  <si>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</si>
  <si>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</si>
  <si>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</si>
  <si>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</si>
  <si>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</si>
  <si>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</si>
  <si>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</si>
  <si>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</si>
  <si>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</si>
  <si>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</si>
  <si>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</si>
  <si>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</si>
  <si>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</si>
  <si>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</si>
  <si>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</si>
  <si>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</si>
  <si>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Aesculus glabra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</si>
  <si>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</si>
  <si>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</si>
  <si>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</si>
  <si>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</si>
  <si>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</si>
  <si>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</si>
  <si>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</si>
  <si>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</si>
  <si>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</si>
  <si>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</si>
  <si>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</si>
  <si>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</si>
  <si>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</si>
  <si>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</si>
  <si>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</si>
  <si>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</si>
  <si>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</si>
  <si>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</si>
  <si>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</si>
  <si>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</si>
  <si>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</si>
  <si>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</si>
  <si>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</si>
  <si>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</si>
  <si>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</si>
  <si>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</si>
  <si>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</si>
  <si>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</si>
  <si>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</si>
  <si>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</si>
  <si>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</si>
  <si>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</si>
  <si>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</si>
  <si>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</si>
  <si>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</si>
  <si>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</si>
  <si>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</si>
  <si>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</si>
  <si>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</si>
  <si>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</si>
  <si>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</si>
  <si>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</si>
  <si>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</si>
  <si>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</si>
  <si>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</si>
  <si>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</si>
  <si>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</si>
  <si>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</si>
  <si>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</si>
  <si>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</si>
  <si>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</si>
  <si>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</si>
  <si>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</si>
  <si>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</si>
  <si>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</si>
  <si>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</si>
  <si>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</si>
  <si>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</si>
  <si>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</si>
  <si>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</si>
  <si>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</si>
  <si>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</si>
  <si>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</si>
  <si>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</si>
  <si>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</si>
  <si>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</si>
  <si>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</si>
  <si>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</si>
  <si>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</si>
  <si>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</si>
  <si>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</si>
  <si>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</si>
  <si>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</si>
  <si>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</si>
  <si>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</si>
  <si>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</si>
  <si>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</si>
  <si>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</si>
  <si>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</si>
  <si>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</si>
  <si>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</si>
  <si>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</si>
  <si>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</si>
  <si>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</si>
  <si>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</si>
  <si>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</si>
  <si>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</si>
  <si>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</si>
  <si>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</si>
  <si>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</si>
  <si>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</si>
  <si>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</si>
  <si>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</si>
  <si>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</si>
  <si>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</si>
  <si>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</si>
  <si>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</si>
  <si>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</si>
  <si>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</si>
  <si>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</si>
  <si>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</si>
  <si>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</si>
  <si>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</si>
  <si>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</si>
  <si>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</si>
  <si>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</si>
  <si>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</si>
  <si>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</si>
  <si>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</si>
  <si>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</si>
  <si>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</si>
  <si>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</si>
  <si>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</si>
  <si>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</si>
  <si>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</si>
  <si>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</si>
  <si>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</si>
  <si>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</si>
  <si>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</si>
  <si>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</si>
  <si>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</si>
  <si>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</si>
  <si>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</si>
  <si>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</si>
  <si>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</si>
  <si>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</si>
  <si>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</si>
  <si>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</si>
  <si>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</si>
  <si>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</si>
  <si>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</si>
  <si>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</si>
  <si>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</si>
  <si>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</si>
  <si>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</si>
  <si>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</si>
  <si>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</si>
  <si>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</si>
  <si>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</si>
  <si>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</si>
  <si>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</si>
  <si>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</si>
  <si>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</si>
  <si>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</si>
  <si>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</si>
  <si>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</si>
  <si>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</si>
  <si>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</si>
  <si>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</si>
  <si>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</si>
  <si>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</si>
  <si>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</si>
  <si>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</si>
  <si>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</si>
  <si>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</si>
  <si>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</si>
  <si>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</si>
  <si>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</si>
  <si>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</si>
  <si>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</si>
  <si>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</si>
  <si>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</si>
  <si>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</si>
  <si>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</si>
  <si>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</si>
  <si>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</si>
  <si>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</si>
  <si>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</si>
  <si>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</si>
  <si>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</si>
  <si>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</si>
  <si>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</si>
  <si>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</si>
  <si>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</si>
  <si>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</si>
  <si>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</si>
  <si>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</si>
  <si>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</si>
  <si>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</si>
  <si>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</si>
  <si>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</si>
  <si>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</si>
  <si>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</si>
  <si>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</si>
  <si>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</si>
  <si>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</si>
  <si>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</si>
  <si>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</si>
  <si>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</si>
  <si>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</si>
  <si>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</si>
  <si>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</si>
  <si>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</si>
  <si>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</si>
  <si>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</si>
  <si>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</si>
  <si>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</si>
  <si>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</si>
  <si>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</si>
  <si>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</si>
  <si>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</si>
  <si>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Alnus serrulata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</si>
  <si>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</si>
  <si>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</si>
  <si>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</si>
  <si>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</si>
  <si>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</si>
  <si>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</si>
  <si>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</si>
  <si>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</si>
  <si>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</si>
  <si>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</si>
  <si>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</si>
  <si>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</si>
  <si>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</si>
  <si>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</si>
  <si>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</si>
  <si>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</si>
  <si>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</si>
  <si>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</si>
  <si>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</si>
  <si>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</si>
  <si>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</si>
  <si>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</si>
  <si>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</si>
  <si>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</si>
  <si>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</si>
  <si>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</si>
  <si>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</si>
  <si>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</si>
  <si>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</si>
  <si>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</si>
  <si>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</si>
  <si>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</si>
  <si>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</si>
  <si>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</si>
  <si>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</si>
  <si>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</si>
  <si>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</si>
  <si>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</si>
  <si>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</si>
  <si>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</si>
  <si>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</si>
  <si>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</si>
  <si>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</si>
  <si>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</si>
  <si>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</si>
  <si>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</si>
  <si>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</si>
  <si>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</si>
  <si>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</si>
  <si>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</si>
  <si>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</si>
  <si>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</si>
  <si>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</si>
  <si>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</si>
  <si>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</si>
  <si>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</si>
  <si>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</si>
  <si>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</si>
  <si>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</si>
  <si>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</si>
  <si>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</si>
  <si>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</si>
  <si>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</si>
  <si>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</si>
  <si>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</si>
  <si>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</si>
  <si>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</si>
  <si>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</si>
  <si>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</si>
  <si>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</si>
  <si>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</si>
  <si>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</si>
  <si>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</si>
  <si>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</si>
  <si>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</si>
  <si>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</si>
  <si>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</si>
  <si>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</si>
  <si>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</si>
  <si>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</si>
  <si>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</si>
  <si>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</si>
  <si>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</si>
  <si>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</si>
  <si>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</si>
  <si>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</si>
  <si>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</si>
  <si>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</si>
  <si>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</si>
  <si>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</si>
  <si>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</si>
  <si>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</si>
  <si>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</si>
  <si>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</si>
  <si>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</si>
  <si>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</si>
  <si>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</si>
  <si>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</si>
  <si>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</si>
  <si>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</si>
  <si>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</si>
  <si>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</si>
  <si>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</si>
  <si>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</si>
  <si>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</si>
  <si>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</si>
  <si>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</si>
  <si>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</si>
  <si>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</si>
  <si>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</si>
  <si>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</si>
  <si>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</si>
  <si>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</si>
  <si>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</si>
  <si>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</si>
  <si>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</si>
  <si>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</si>
  <si>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</si>
  <si>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</si>
  <si>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</si>
  <si>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</si>
  <si>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</si>
  <si>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</si>
  <si>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</si>
  <si>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</si>
  <si>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</si>
  <si>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</si>
  <si>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</si>
  <si>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</si>
  <si>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</si>
  <si>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</si>
  <si>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</si>
  <si>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</si>
  <si>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</si>
  <si>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</si>
  <si>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</si>
  <si>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</si>
  <si>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</si>
  <si>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</si>
  <si>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</si>
  <si>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</si>
  <si>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</si>
  <si>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</si>
  <si>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</si>
  <si>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</si>
  <si>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</si>
  <si>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</si>
  <si>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</si>
  <si>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</si>
  <si>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</si>
  <si>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</si>
  <si>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</si>
  <si>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</si>
  <si>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</si>
  <si>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</si>
  <si>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</si>
  <si>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</si>
  <si>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</si>
  <si>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</si>
  <si>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</si>
  <si>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</si>
  <si>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</si>
  <si>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</si>
  <si>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</si>
  <si>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</si>
  <si>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</si>
  <si>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</si>
  <si>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</si>
  <si>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</si>
  <si>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</si>
  <si>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</si>
  <si>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</si>
  <si>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</si>
  <si>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</si>
  <si>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</si>
  <si>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</si>
  <si>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</si>
  <si>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</si>
  <si>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</si>
  <si>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</si>
  <si>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</si>
  <si>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</si>
  <si>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</si>
  <si>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</si>
  <si>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</si>
  <si>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</si>
  <si>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</si>
  <si>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</si>
  <si>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</si>
  <si>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</si>
  <si>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</si>
  <si>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</si>
  <si>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</si>
  <si>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</si>
  <si>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</si>
  <si>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</si>
  <si>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</si>
  <si>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</si>
  <si>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</si>
  <si>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</si>
  <si>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</si>
  <si>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</si>
  <si>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</si>
  <si>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</si>
  <si>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</si>
  <si>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</si>
  <si>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</si>
  <si>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</si>
  <si>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</si>
  <si>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</si>
  <si>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</si>
  <si>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</si>
  <si>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</si>
  <si>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</si>
  <si>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</si>
  <si>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</si>
  <si>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</si>
  <si>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</si>
  <si>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</si>
  <si>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</si>
  <si>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</si>
  <si>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</si>
  <si>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</si>
  <si>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</si>
  <si>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</si>
  <si>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</si>
  <si>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</si>
  <si>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</si>
  <si>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</si>
  <si>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</si>
  <si>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</si>
  <si>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</si>
  <si>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</si>
  <si>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</si>
  <si>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</si>
  <si>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</si>
  <si>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</si>
  <si>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</si>
  <si>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</si>
  <si>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</si>
  <si>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</si>
  <si>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</si>
  <si>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</si>
  <si>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</si>
  <si>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</si>
  <si>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</si>
  <si>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</si>
  <si>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</si>
  <si>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</si>
  <si>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</si>
  <si>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</si>
  <si>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</si>
  <si>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</si>
  <si>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</si>
  <si>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</si>
  <si>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</si>
  <si>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</si>
  <si>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</si>
  <si>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</si>
  <si>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</si>
  <si>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</si>
  <si>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</si>
  <si>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</si>
  <si>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</si>
  <si>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</si>
  <si>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</si>
  <si>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</si>
  <si>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</si>
  <si>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</si>
  <si>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</si>
  <si>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</si>
  <si>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</si>
  <si>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</si>
  <si>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</si>
  <si>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</si>
  <si>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</si>
  <si>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</si>
  <si>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</si>
  <si>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</si>
  <si>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</si>
  <si>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</si>
  <si>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</si>
  <si>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</si>
  <si>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</si>
  <si>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</si>
  <si>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</si>
  <si>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</si>
  <si>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</si>
  <si>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</si>
  <si>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</si>
  <si>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</si>
  <si>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</si>
  <si>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</si>
  <si>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</si>
  <si>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</si>
  <si>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</si>
  <si>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</si>
  <si>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</si>
  <si>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</si>
  <si>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</si>
  <si>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</si>
  <si>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</si>
  <si>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</si>
  <si>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</si>
  <si>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</si>
  <si>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</si>
  <si>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</si>
  <si>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</si>
  <si>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</si>
  <si>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</si>
  <si>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</si>
  <si>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</si>
  <si>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</si>
  <si>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</si>
  <si>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</si>
  <si>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</si>
  <si>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</si>
  <si>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</si>
  <si>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</si>
  <si>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</si>
  <si>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</si>
  <si>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</si>
  <si>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</si>
  <si>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</si>
  <si>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</si>
  <si>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</si>
  <si>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</si>
  <si>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</si>
  <si>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</si>
  <si>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</si>
  <si>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</si>
  <si>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</si>
  <si>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</si>
  <si>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</si>
  <si>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</si>
  <si>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</si>
  <si>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</si>
  <si>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</si>
  <si>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</si>
  <si>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</si>
  <si>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</si>
  <si>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</si>
  <si>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</si>
  <si>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</si>
  <si>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</si>
  <si>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</si>
  <si>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</si>
  <si>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</si>
  <si>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</si>
  <si>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</si>
  <si>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</si>
  <si>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</si>
  <si>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</si>
  <si>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</si>
  <si>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</si>
  <si>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</si>
  <si>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</si>
  <si>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</si>
  <si>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</si>
  <si>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</si>
  <si>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</si>
  <si>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</si>
  <si>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</si>
  <si>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</si>
  <si>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</si>
  <si>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</si>
  <si>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</si>
  <si>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</si>
  <si>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</si>
  <si>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</si>
  <si>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</si>
  <si>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</si>
  <si>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</si>
  <si>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</si>
  <si>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</si>
  <si>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</si>
  <si>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</si>
  <si>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</si>
  <si>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</si>
  <si>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</si>
  <si>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</si>
  <si>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</si>
  <si>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</si>
  <si>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</si>
  <si>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</si>
  <si>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</si>
  <si>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</si>
  <si>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</si>
  <si>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</si>
  <si>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</si>
  <si>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</si>
  <si>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</si>
  <si>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</si>
  <si>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</si>
  <si>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</si>
  <si>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</si>
  <si>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</si>
  <si>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</si>
  <si>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</si>
  <si>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</si>
  <si>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</si>
  <si>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</si>
  <si>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</si>
  <si>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</si>
  <si>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</si>
  <si>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</si>
  <si>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</si>
  <si>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</si>
  <si>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</si>
  <si>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</si>
  <si>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</si>
  <si>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</si>
  <si>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</si>
  <si>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</si>
  <si>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</si>
  <si>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</si>
  <si>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</si>
  <si>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</si>
  <si>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</si>
  <si>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</si>
  <si>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</si>
  <si>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</si>
  <si>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</si>
  <si>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</si>
  <si>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</si>
  <si>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</si>
  <si>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</si>
  <si>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</si>
  <si>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</si>
  <si>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</si>
  <si>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</si>
  <si>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</si>
  <si>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</si>
  <si>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</si>
  <si>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</si>
  <si>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</si>
  <si>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</si>
  <si>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</si>
  <si>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</si>
  <si>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</si>
  <si>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</si>
  <si>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</si>
  <si>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</si>
  <si>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</si>
  <si>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</si>
  <si>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</si>
  <si>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</si>
  <si>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</si>
  <si>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</si>
  <si>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</si>
  <si>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</si>
  <si>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</si>
  <si>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</si>
  <si>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</si>
  <si>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</si>
  <si>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</si>
  <si>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</si>
  <si>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</si>
  <si>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</si>
  <si>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</si>
  <si>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</si>
  <si>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</si>
  <si>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</si>
  <si>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</si>
  <si>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</si>
  <si>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</si>
  <si>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</si>
  <si>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</si>
  <si>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</si>
  <si>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</si>
  <si>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</si>
  <si>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</si>
  <si>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</si>
  <si>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</si>
  <si>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</si>
  <si>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</si>
  <si>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</si>
  <si>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</si>
  <si>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</si>
  <si>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</si>
  <si>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</si>
  <si>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</si>
  <si>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</si>
  <si>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</si>
  <si>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</si>
  <si>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</si>
  <si>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</si>
  <si>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</si>
  <si>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</si>
  <si>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</si>
  <si>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</si>
  <si>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</si>
  <si>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</si>
  <si>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</si>
  <si>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</si>
  <si>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</si>
  <si>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</si>
  <si>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</si>
  <si>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</si>
  <si>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</si>
  <si>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</si>
  <si>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</si>
  <si>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</si>
  <si>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</si>
  <si>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</si>
  <si>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</si>
  <si>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</si>
  <si>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</si>
  <si>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</si>
  <si>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</si>
  <si>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</si>
  <si>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</si>
  <si>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</si>
  <si>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</si>
  <si>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</si>
  <si>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</si>
  <si>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</si>
  <si>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</si>
  <si>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</si>
  <si>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</si>
  <si>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</si>
  <si>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</si>
  <si>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</si>
  <si>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</si>
  <si>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</si>
  <si>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</si>
  <si>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</si>
  <si>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</si>
  <si>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</si>
  <si>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</si>
  <si>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</si>
  <si>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</si>
  <si>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</si>
  <si>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</si>
  <si>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</si>
  <si>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</si>
  <si>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</si>
  <si>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</si>
  <si>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</si>
  <si>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</si>
  <si>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</si>
  <si>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</si>
  <si>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</si>
  <si>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</si>
  <si>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</si>
  <si>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</si>
  <si>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</si>
  <si>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</si>
  <si>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</si>
  <si>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</si>
  <si>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</si>
  <si>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</si>
  <si>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</si>
  <si>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</si>
  <si>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</si>
  <si>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</si>
  <si>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</si>
  <si>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</si>
  <si>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</si>
  <si>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</si>
  <si>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</si>
  <si>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</si>
  <si>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</si>
  <si>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</si>
  <si>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</si>
  <si>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</si>
  <si>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</si>
  <si>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</si>
  <si>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</si>
  <si>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</si>
  <si>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</si>
  <si>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</si>
  <si>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</si>
  <si>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</si>
  <si>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</si>
  <si>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</si>
  <si>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</si>
  <si>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</si>
  <si>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</si>
  <si>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</si>
  <si>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</si>
  <si>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</si>
  <si>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</si>
  <si>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</si>
  <si>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</si>
  <si>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</si>
  <si>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</si>
  <si>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</si>
  <si>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</si>
  <si>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</si>
  <si>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</si>
  <si>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</si>
  <si>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</si>
  <si>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</si>
  <si>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</si>
  <si>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</si>
  <si>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</si>
  <si>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</si>
  <si>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</si>
  <si>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</si>
  <si>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</si>
  <si>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</si>
  <si>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</si>
  <si>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</si>
  <si>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</si>
  <si>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</si>
  <si>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</si>
  <si>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</si>
  <si>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</si>
  <si>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</si>
  <si>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</si>
  <si>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</si>
  <si>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</si>
  <si>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</si>
  <si>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</si>
  <si>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</si>
  <si>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</si>
  <si>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</si>
  <si>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</si>
  <si>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</si>
  <si>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</si>
  <si>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</si>
  <si>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</si>
  <si>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</si>
  <si>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</si>
  <si>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</si>
  <si>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</si>
  <si>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</si>
  <si>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</si>
  <si>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</si>
  <si>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</si>
  <si>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</si>
  <si>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</si>
  <si>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</si>
  <si>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</si>
  <si>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</si>
  <si>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</si>
  <si>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</si>
  <si>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</si>
  <si>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</si>
  <si>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</si>
  <si>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</si>
  <si>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</si>
  <si>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</si>
  <si>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</si>
  <si>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</si>
  <si>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</si>
  <si>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</si>
  <si>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</si>
  <si>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</si>
  <si>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</si>
  <si>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</si>
  <si>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</si>
  <si>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</si>
  <si>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</si>
  <si>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</si>
  <si>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</si>
  <si>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</si>
  <si>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</si>
  <si>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</si>
  <si>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</si>
  <si>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</si>
  <si>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</si>
  <si>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</si>
  <si>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</si>
  <si>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</si>
  <si>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</si>
  <si>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</si>
  <si>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</si>
  <si>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</si>
  <si>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</si>
  <si>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</si>
  <si>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</si>
  <si>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</si>
  <si>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</si>
  <si>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</si>
  <si>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</si>
  <si>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</si>
  <si>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</si>
  <si>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</si>
  <si>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</si>
  <si>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</si>
  <si>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</si>
  <si>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</si>
  <si>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</si>
  <si>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</si>
  <si>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</si>
  <si>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</si>
  <si>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</si>
  <si>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</si>
  <si>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</si>
  <si>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</si>
  <si>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</si>
  <si>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</si>
  <si>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</si>
  <si>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</si>
  <si>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</si>
  <si>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</si>
  <si>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</si>
  <si>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</si>
  <si>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</si>
  <si>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</si>
  <si>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</si>
  <si>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</si>
  <si>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</si>
  <si>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</si>
  <si>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</si>
  <si>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</si>
  <si>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</si>
  <si>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</si>
  <si>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</si>
  <si>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</si>
  <si>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</si>
  <si>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</si>
  <si>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</si>
  <si>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</si>
  <si>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</si>
  <si>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</si>
  <si>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</si>
  <si>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</si>
  <si>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</si>
  <si>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</si>
  <si>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</si>
  <si>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</si>
  <si>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</si>
  <si>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</si>
  <si>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</si>
  <si>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</si>
  <si>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</si>
  <si>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</si>
  <si>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</si>
  <si>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</si>
  <si>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</si>
  <si>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</si>
  <si>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</si>
  <si>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</si>
  <si>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</si>
  <si>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</si>
  <si>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</si>
  <si>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</si>
  <si>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</si>
  <si>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</si>
  <si>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</si>
  <si>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</si>
  <si>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</si>
  <si>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</si>
  <si>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</si>
  <si>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</si>
  <si>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</si>
  <si>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</si>
  <si>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</si>
  <si>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</si>
  <si>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</si>
  <si>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</si>
  <si>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</si>
  <si>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</si>
  <si>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</si>
  <si>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</si>
  <si>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</si>
  <si>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</si>
  <si>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</si>
  <si>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</si>
  <si>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</si>
  <si>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</si>
  <si>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</si>
  <si>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</si>
  <si>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</si>
  <si>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</si>
  <si>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</si>
  <si>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</si>
  <si>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</si>
  <si>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</si>
  <si>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</si>
  <si>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</si>
  <si>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</si>
  <si>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</si>
  <si>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</si>
  <si>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</si>
  <si>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</si>
  <si>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</si>
  <si>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</si>
  <si>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</si>
  <si>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</si>
  <si>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</si>
  <si>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</si>
  <si>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</si>
  <si>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</si>
  <si>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</si>
  <si>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</si>
  <si>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</si>
  <si>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</si>
  <si>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</si>
  <si>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</si>
  <si>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</si>
  <si>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</si>
  <si>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</si>
  <si>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</si>
  <si>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</si>
  <si>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</si>
  <si>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</si>
  <si>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</si>
  <si>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</si>
  <si>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</si>
  <si>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</si>
  <si>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</si>
  <si>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</si>
  <si>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</si>
  <si>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</si>
  <si>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</si>
  <si>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</si>
  <si>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</si>
  <si>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</si>
  <si>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</si>
  <si>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</si>
  <si>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</si>
  <si>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</si>
  <si>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</si>
  <si>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</si>
  <si>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</si>
  <si>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</si>
  <si>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</si>
  <si>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</si>
  <si>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</si>
  <si>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</si>
  <si>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</si>
  <si>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</si>
  <si>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</si>
  <si>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</si>
  <si>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</si>
  <si>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</si>
  <si>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</si>
  <si>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</si>
  <si>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</si>
  <si>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</si>
  <si>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</si>
  <si>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</si>
  <si>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</si>
  <si>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</si>
  <si>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</si>
  <si>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</si>
  <si>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</si>
  <si>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</si>
  <si>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</si>
  <si>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</si>
  <si>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</si>
  <si>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</si>
  <si>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</si>
  <si>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</si>
  <si>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</si>
  <si>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</si>
  <si>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</si>
  <si>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</si>
  <si>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</si>
  <si>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</si>
  <si>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</si>
  <si>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</si>
  <si>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</si>
  <si>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</si>
  <si>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</si>
  <si>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</si>
  <si>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</si>
  <si>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</si>
  <si>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</si>
  <si>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</si>
  <si>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</si>
  <si>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</si>
  <si>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</si>
  <si>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</si>
  <si>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</si>
  <si>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</si>
  <si>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</si>
  <si>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</si>
  <si>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</si>
  <si>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</si>
  <si>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</si>
  <si>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</si>
  <si>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</si>
  <si>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</si>
  <si>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</si>
  <si>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</si>
  <si>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</si>
  <si>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</si>
  <si>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</si>
  <si>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</si>
  <si>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</si>
  <si>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</si>
  <si>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</si>
  <si>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</si>
  <si>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</si>
  <si>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</si>
  <si>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</si>
  <si>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</si>
  <si>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</si>
  <si>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</si>
  <si>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</si>
  <si>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</si>
  <si>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</si>
  <si>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</si>
  <si>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</si>
  <si>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</si>
  <si>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</si>
  <si>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</si>
  <si>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</si>
  <si>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</si>
  <si>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</si>
  <si>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</si>
  <si>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</si>
  <si>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</si>
  <si>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</si>
  <si>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</si>
  <si>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</si>
  <si>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</si>
  <si>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</si>
  <si>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</si>
  <si>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</si>
  <si>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</si>
  <si>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</si>
  <si>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</si>
  <si>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</si>
  <si>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</si>
  <si>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</si>
  <si>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</si>
  <si>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</si>
  <si>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</si>
  <si>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</si>
  <si>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</si>
  <si>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</si>
  <si>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</si>
  <si>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</si>
  <si>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</si>
  <si>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</si>
  <si>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</si>
  <si>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</si>
  <si>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</si>
  <si>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</si>
  <si>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</si>
  <si>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</si>
  <si>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</si>
  <si>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</si>
  <si>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</si>
  <si>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</si>
  <si>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</si>
  <si>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</si>
  <si>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</si>
  <si>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</si>
  <si>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</si>
  <si>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</si>
  <si>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</si>
  <si>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</si>
  <si>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</si>
  <si>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</si>
  <si>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</si>
  <si>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</si>
  <si>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</si>
  <si>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</si>
  <si>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</si>
  <si>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</si>
  <si>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</si>
  <si>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</si>
  <si>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</si>
  <si>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</si>
  <si>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</si>
  <si>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</si>
  <si>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</si>
  <si>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</si>
  <si>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</si>
  <si>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</si>
  <si>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</si>
  <si>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</si>
  <si>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</si>
  <si>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</si>
  <si>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</si>
  <si>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</si>
  <si>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</si>
  <si>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</si>
  <si>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</si>
  <si>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</si>
  <si>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</si>
  <si>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</si>
  <si>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</si>
  <si>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</si>
  <si>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</si>
  <si>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</si>
  <si>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</si>
  <si>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</si>
  <si>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</si>
  <si>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</si>
  <si>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</si>
  <si>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</si>
  <si>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</si>
  <si>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</si>
  <si>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</si>
  <si>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</si>
  <si>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</si>
  <si>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</si>
  <si>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</si>
  <si>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</si>
  <si>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</si>
  <si>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</si>
  <si>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</si>
  <si>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</si>
  <si>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</si>
  <si>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</si>
  <si>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</si>
  <si>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</si>
  <si>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</si>
  <si>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</si>
  <si>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</si>
  <si>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</si>
  <si>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</si>
  <si>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</si>
  <si>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</si>
  <si>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</si>
  <si>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</si>
  <si>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</si>
  <si>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</si>
  <si>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</si>
  <si>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</si>
  <si>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</si>
  <si>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</si>
  <si>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</si>
  <si>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</si>
  <si>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</si>
  <si>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</si>
  <si>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</si>
  <si>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</si>
  <si>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</si>
  <si>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</si>
  <si>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</si>
  <si>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</si>
  <si>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</si>
  <si>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</si>
  <si>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</si>
  <si>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</si>
  <si>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</si>
  <si>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</si>
  <si>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</si>
  <si>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</si>
  <si>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</si>
  <si>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</si>
  <si>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</si>
  <si>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</si>
  <si>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</si>
  <si>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</si>
  <si>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</si>
  <si>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</si>
  <si>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</si>
  <si>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</si>
  <si>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</si>
  <si>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</si>
  <si>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</si>
  <si>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</si>
  <si>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</si>
  <si>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</si>
  <si>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</si>
  <si>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</si>
  <si>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</si>
  <si>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</si>
  <si>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</si>
  <si>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</si>
  <si>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</si>
  <si>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</si>
  <si>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</si>
  <si>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</si>
  <si>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</si>
  <si>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</si>
  <si>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</si>
  <si>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</si>
  <si>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</si>
  <si>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</si>
  <si>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</si>
  <si>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</si>
  <si>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</si>
  <si>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</si>
  <si>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</si>
  <si>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</si>
  <si>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</si>
  <si>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</si>
  <si>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</si>
  <si>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</si>
  <si>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</si>
  <si>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</si>
  <si>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</si>
  <si>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</si>
  <si>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</si>
  <si>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</si>
  <si>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</si>
  <si>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</si>
  <si>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</si>
  <si>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</si>
  <si>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</si>
  <si>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</si>
  <si>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</si>
  <si>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</si>
  <si>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</si>
  <si>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</si>
  <si>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</si>
  <si>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</si>
  <si>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</si>
  <si>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</si>
  <si>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</si>
  <si>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</si>
  <si>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</si>
  <si>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</si>
  <si>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</si>
  <si>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</si>
  <si>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</si>
  <si>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</si>
  <si>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</si>
  <si>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</si>
  <si>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</si>
  <si>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</si>
  <si>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</si>
  <si>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</si>
  <si>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</si>
  <si>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</si>
  <si>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</si>
  <si>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</si>
  <si>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</si>
  <si>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</si>
  <si>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</si>
  <si>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</si>
  <si>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</si>
  <si>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</si>
  <si>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</si>
  <si>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</si>
  <si>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</si>
  <si>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</si>
  <si>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</si>
  <si>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</si>
  <si>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</si>
  <si>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</si>
  <si>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</si>
  <si>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</si>
  <si>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</si>
  <si>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</si>
  <si>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</si>
  <si>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</si>
  <si>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</si>
  <si>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</si>
  <si>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</si>
  <si>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</si>
  <si>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</si>
  <si>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</si>
  <si>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</si>
  <si>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</si>
  <si>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</si>
  <si>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</si>
  <si>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</si>
  <si>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</si>
  <si>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</si>
  <si>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</si>
  <si>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</si>
  <si>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</si>
  <si>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</si>
  <si>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</si>
  <si>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</si>
  <si>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</si>
  <si>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</si>
  <si>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</si>
  <si>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</si>
  <si>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</si>
  <si>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</si>
  <si>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</si>
  <si>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</si>
  <si>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</si>
  <si>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</si>
  <si>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</si>
  <si>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</si>
  <si>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</si>
  <si>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</si>
  <si>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</si>
  <si>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</si>
  <si>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</si>
  <si>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</si>
  <si>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</si>
  <si>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</si>
  <si>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</si>
  <si>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</si>
  <si>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</si>
  <si>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</si>
  <si>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</si>
  <si>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</si>
  <si>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</si>
  <si>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</si>
  <si>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</si>
  <si>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</si>
  <si>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</si>
  <si>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</si>
  <si>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</si>
  <si>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</si>
  <si>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</si>
  <si>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</si>
  <si>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</si>
  <si>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</si>
  <si>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</si>
  <si>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</si>
  <si>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</si>
  <si>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</si>
  <si>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</si>
  <si>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</si>
  <si>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</si>
  <si>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</si>
  <si>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</si>
  <si>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</si>
  <si>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</si>
  <si>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</si>
  <si>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</si>
  <si>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</si>
  <si>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</si>
  <si>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</si>
  <si>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</si>
  <si>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</si>
  <si>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</si>
  <si>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</si>
  <si>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</si>
  <si>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</si>
  <si>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</si>
  <si>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</si>
  <si>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</si>
  <si>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</si>
  <si>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</si>
  <si>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</si>
  <si>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</si>
  <si>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</si>
  <si>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</si>
  <si>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</si>
  <si>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</si>
  <si>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</si>
  <si>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</si>
  <si>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</si>
  <si>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</si>
  <si>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</si>
  <si>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</si>
  <si>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</si>
  <si>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</si>
  <si>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</si>
  <si>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</si>
  <si>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</si>
  <si>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</si>
  <si>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</si>
  <si>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</si>
  <si>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</si>
  <si>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</si>
  <si>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</si>
  <si>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</si>
  <si>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</si>
  <si>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</si>
  <si>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</si>
  <si>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</si>
  <si>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</si>
  <si>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</si>
  <si>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</si>
  <si>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</si>
  <si>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</si>
  <si>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</si>
  <si>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</si>
  <si>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</si>
  <si>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</si>
  <si>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</si>
  <si>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</si>
  <si>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</si>
  <si>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</si>
  <si>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</si>
  <si>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</si>
  <si>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</si>
  <si>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</si>
  <si>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</si>
  <si>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</si>
  <si>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</si>
  <si>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</si>
  <si>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</si>
  <si>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</si>
  <si>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</si>
  <si>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</si>
  <si>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</si>
  <si>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</si>
  <si>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</si>
  <si>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</si>
  <si>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</si>
  <si>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</si>
  <si>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</si>
  <si>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</si>
  <si>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</si>
  <si>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</si>
  <si>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</si>
  <si>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</si>
  <si>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</si>
  <si>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</si>
  <si>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</si>
  <si>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</si>
  <si>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</si>
  <si>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</si>
  <si>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</si>
  <si>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</si>
  <si>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</si>
  <si>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</si>
  <si>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</si>
  <si>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</si>
  <si>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</si>
  <si>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</si>
  <si>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</si>
  <si>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</si>
  <si>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</si>
  <si>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</si>
  <si>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</si>
  <si>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</si>
  <si>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</si>
  <si>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</si>
  <si>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</si>
  <si>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</si>
  <si>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</si>
  <si>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</si>
  <si>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</si>
  <si>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</si>
  <si>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</si>
  <si>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</si>
  <si>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</si>
  <si>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</si>
  <si>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</si>
  <si>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</si>
  <si>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</si>
  <si>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</si>
  <si>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</si>
  <si>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</si>
  <si>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</si>
  <si>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</si>
  <si>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</si>
  <si>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</si>
  <si>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</si>
  <si>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</si>
  <si>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</si>
  <si>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</si>
  <si>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</si>
  <si>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</si>
  <si>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</si>
  <si>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</si>
  <si>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</si>
  <si>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</si>
  <si>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</si>
  <si>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</si>
  <si>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</si>
  <si>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</si>
  <si>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</si>
  <si>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</si>
  <si>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</si>
  <si>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</si>
  <si>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</si>
  <si>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</si>
  <si>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</si>
  <si>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</si>
  <si>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</si>
  <si>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</si>
  <si>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</si>
  <si>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</si>
  <si>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</si>
  <si>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</si>
  <si>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</si>
  <si>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</si>
  <si>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</si>
  <si>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</si>
  <si>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</si>
  <si>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</si>
  <si>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</si>
  <si>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</si>
  <si>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</si>
  <si>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</si>
  <si>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</si>
  <si>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</si>
  <si>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</si>
  <si>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</si>
  <si>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</si>
  <si>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</si>
  <si>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</si>
  <si>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</si>
  <si>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</si>
  <si>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</si>
  <si>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</si>
  <si>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</si>
  <si>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</si>
  <si>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</si>
  <si>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</si>
  <si>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</si>
  <si>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</si>
  <si>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</si>
  <si>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</si>
  <si>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</si>
  <si>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</si>
  <si>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</si>
  <si>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</si>
  <si>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</si>
  <si>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</si>
  <si>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</si>
  <si>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</si>
  <si>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</si>
  <si>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</si>
  <si>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</si>
  <si>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</si>
  <si>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</si>
  <si>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</si>
  <si>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</si>
  <si>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</si>
  <si>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</si>
  <si>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</si>
  <si>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</si>
  <si>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</si>
  <si>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</si>
  <si>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</si>
  <si>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</si>
  <si>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</si>
  <si>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</si>
  <si>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</si>
  <si>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</si>
  <si>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</si>
  <si>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</si>
  <si>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</si>
  <si>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</si>
  <si>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</si>
  <si>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</si>
  <si>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</si>
  <si>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</si>
  <si>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</si>
  <si>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</si>
  <si>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</si>
  <si>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</si>
  <si>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</si>
  <si>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</si>
  <si>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</si>
  <si>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</si>
  <si>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</si>
  <si>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</si>
  <si>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</si>
  <si>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</si>
  <si>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</si>
  <si>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</si>
  <si>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</si>
  <si>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</si>
  <si>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</si>
  <si>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</si>
  <si>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</si>
  <si>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</si>
  <si>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</si>
  <si>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</si>
  <si>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</si>
  <si>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</si>
  <si>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</si>
  <si>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</si>
  <si>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</si>
  <si>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</si>
  <si>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</si>
  <si>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</si>
  <si>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</si>
  <si>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</si>
  <si>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</si>
  <si>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</si>
  <si>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</si>
  <si>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</si>
  <si>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</si>
  <si>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</si>
  <si>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</si>
  <si>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</si>
  <si>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</si>
  <si>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</si>
  <si>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</si>
  <si>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</si>
  <si>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</si>
  <si>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</si>
  <si>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</si>
  <si>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</si>
  <si>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</si>
  <si>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</si>
  <si>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</si>
  <si>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</si>
  <si>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</si>
  <si>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</si>
  <si>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</si>
  <si>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</si>
  <si>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</si>
  <si>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</si>
  <si>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</si>
  <si>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</si>
  <si>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</si>
  <si>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</si>
  <si>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</si>
  <si>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</si>
  <si>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</si>
  <si>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</si>
  <si>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</si>
  <si>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</si>
  <si>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</si>
  <si>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</si>
  <si>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</si>
  <si>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</si>
  <si>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</si>
  <si>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</si>
  <si>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</si>
  <si>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</si>
  <si>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</si>
  <si>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</si>
  <si>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</si>
  <si>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</si>
  <si>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</si>
  <si>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</si>
  <si>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</si>
  <si>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</si>
  <si>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</si>
  <si>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</si>
  <si>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</si>
  <si>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</si>
  <si>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</si>
  <si>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</si>
  <si>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</si>
  <si>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</si>
  <si>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</si>
  <si>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</si>
  <si>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</si>
  <si>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</si>
  <si>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</si>
  <si>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</si>
  <si>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</si>
  <si>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</si>
  <si>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</si>
  <si>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</si>
  <si>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</si>
  <si>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</si>
  <si>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</si>
  <si>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</si>
  <si>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</si>
  <si>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</si>
  <si>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</si>
  <si>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</si>
  <si>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</si>
  <si>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</si>
  <si>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</si>
  <si>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</si>
  <si>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</si>
  <si>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</si>
  <si>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</si>
  <si>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</si>
  <si>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</si>
  <si>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</si>
  <si>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</si>
  <si>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</si>
  <si>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</si>
  <si>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</si>
  <si>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</si>
  <si>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</si>
  <si>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</si>
  <si>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</si>
  <si>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</si>
  <si>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</si>
  <si>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</si>
  <si>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</si>
  <si>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</si>
  <si>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</si>
  <si>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</si>
  <si>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</si>
  <si>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</si>
  <si>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</si>
  <si>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</si>
  <si>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</si>
  <si>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</si>
  <si>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</si>
  <si>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</si>
  <si>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</si>
  <si>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</si>
  <si>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</si>
  <si>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</si>
  <si>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</si>
  <si>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</si>
  <si>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</si>
  <si>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</si>
  <si>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</si>
  <si>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</si>
  <si>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</si>
  <si>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</si>
  <si>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</si>
  <si>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</si>
  <si>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</si>
  <si>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</si>
  <si>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</si>
  <si>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</si>
  <si>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</si>
  <si>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</si>
  <si>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</si>
  <si>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</si>
  <si>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</si>
  <si>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</si>
  <si>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</si>
  <si>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</si>
  <si>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</si>
  <si>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</si>
  <si>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</si>
  <si>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</si>
  <si>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</si>
  <si>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</si>
  <si>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</si>
  <si>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</si>
  <si>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</si>
  <si>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</si>
  <si>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</si>
  <si>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</si>
  <si>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</si>
  <si>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</si>
  <si>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</si>
  <si>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</si>
  <si>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</si>
  <si>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</si>
  <si>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</si>
  <si>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</si>
  <si>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</si>
  <si>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</si>
  <si>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</si>
  <si>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</si>
  <si>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</si>
  <si>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</si>
  <si>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</si>
  <si>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</si>
  <si>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</si>
  <si>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</si>
  <si>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</si>
  <si>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</si>
  <si>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</si>
  <si>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</si>
  <si>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</si>
  <si>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</si>
  <si>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</si>
  <si>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</si>
  <si>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</si>
  <si>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</si>
  <si>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</si>
  <si>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</si>
  <si>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</si>
  <si>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</si>
  <si>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</si>
  <si>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</si>
  <si>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</si>
  <si>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</si>
  <si>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</si>
  <si>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</si>
  <si>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</si>
  <si>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</si>
  <si>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</si>
  <si>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</si>
  <si>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</si>
  <si>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</si>
  <si>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</si>
  <si>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</si>
  <si>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</si>
  <si>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</si>
  <si>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</si>
  <si>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</si>
  <si>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</si>
  <si>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</si>
  <si>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</si>
  <si>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</si>
  <si>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</si>
  <si>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</si>
  <si>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</si>
  <si>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</si>
  <si>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</si>
  <si>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</si>
  <si>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</si>
  <si>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</si>
  <si>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</si>
  <si>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</si>
  <si>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</si>
  <si>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</si>
  <si>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</si>
  <si>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</si>
  <si>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</si>
  <si>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</si>
  <si>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</si>
  <si>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</si>
  <si>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</si>
  <si>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</si>
  <si>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</si>
  <si>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</si>
  <si>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</si>
  <si>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</si>
  <si>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</si>
  <si>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</si>
  <si>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</si>
  <si>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</si>
  <si>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</si>
  <si>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</si>
  <si>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</si>
  <si>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</si>
  <si>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</si>
  <si>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</si>
  <si>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</si>
  <si>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</si>
  <si>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</si>
  <si>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</si>
  <si>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</si>
  <si>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</si>
  <si>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</si>
  <si>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</si>
  <si>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</si>
  <si>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</si>
  <si>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</si>
  <si>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</si>
  <si>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</si>
  <si>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</si>
  <si>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</si>
  <si>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</si>
  <si>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</si>
  <si>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</si>
  <si>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</si>
  <si>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</si>
  <si>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</si>
  <si>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</si>
  <si>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</si>
  <si>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</si>
  <si>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</si>
  <si>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</si>
  <si>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</si>
  <si>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</si>
  <si>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</si>
  <si>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</si>
  <si>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</si>
  <si>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</si>
  <si>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</si>
  <si>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</si>
  <si>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</si>
  <si>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</si>
  <si>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</si>
  <si>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</si>
  <si>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</si>
  <si>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</si>
  <si>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</si>
  <si>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</si>
  <si>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</si>
  <si>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</si>
  <si>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</si>
  <si>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</si>
  <si>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</si>
  <si>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</si>
  <si>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</si>
  <si>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</si>
  <si>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</si>
  <si>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</si>
  <si>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</si>
  <si>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</si>
  <si>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</si>
  <si>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</si>
  <si>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</si>
  <si>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</si>
  <si>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</si>
  <si>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</si>
  <si>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</si>
  <si>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</si>
  <si>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</si>
  <si>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</si>
  <si>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</si>
  <si>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</si>
  <si>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</si>
  <si>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</si>
  <si>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</si>
  <si>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</si>
  <si>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</si>
  <si>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</si>
  <si>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</si>
  <si>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</si>
  <si>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</si>
  <si>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</si>
  <si>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</si>
  <si>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Carpinus caroliniana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</si>
  <si>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</si>
  <si>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</si>
  <si>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</si>
  <si>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</si>
  <si>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</si>
  <si>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</si>
  <si>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</si>
  <si>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</si>
  <si>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</si>
  <si>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</si>
  <si>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</si>
  <si>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</si>
  <si>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</si>
  <si>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</si>
  <si>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</si>
  <si>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</si>
  <si>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</si>
  <si>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</si>
  <si>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</si>
  <si>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</si>
  <si>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</si>
  <si>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</si>
  <si>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</si>
  <si>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</si>
  <si>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</si>
  <si>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</si>
  <si>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</si>
  <si>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</si>
  <si>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</si>
  <si>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</si>
  <si>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</si>
  <si>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</si>
  <si>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</si>
  <si>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</si>
  <si>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</si>
  <si>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</si>
  <si>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</si>
  <si>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</si>
  <si>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</si>
  <si>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</si>
  <si>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</si>
  <si>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</si>
  <si>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</si>
  <si>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</si>
  <si>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</si>
  <si>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</si>
  <si>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</si>
  <si>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</si>
  <si>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</si>
  <si>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</si>
  <si>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</si>
  <si>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</si>
  <si>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</si>
  <si>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</si>
  <si>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</si>
  <si>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</si>
  <si>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</si>
  <si>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</si>
  <si>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</si>
  <si>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</si>
  <si>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</si>
  <si>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</si>
  <si>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</si>
  <si>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</si>
  <si>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</si>
  <si>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</si>
  <si>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</si>
  <si>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</si>
  <si>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</si>
  <si>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</si>
  <si>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</si>
  <si>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</si>
  <si>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</si>
  <si>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</si>
  <si>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</si>
  <si>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</si>
  <si>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</si>
  <si>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</si>
  <si>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</si>
  <si>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</si>
  <si>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</si>
  <si>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</si>
  <si>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</si>
  <si>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</si>
  <si>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</si>
  <si>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</si>
  <si>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</si>
  <si>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</si>
  <si>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</si>
  <si>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</si>
  <si>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</si>
  <si>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</si>
  <si>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</si>
  <si>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</si>
  <si>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</si>
  <si>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</si>
  <si>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</si>
  <si>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</si>
  <si>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</si>
  <si>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</si>
  <si>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</si>
  <si>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</si>
  <si>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</si>
  <si>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</si>
  <si>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</si>
  <si>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</si>
  <si>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</si>
  <si>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</si>
  <si>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</si>
  <si>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</si>
  <si>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</si>
  <si>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</si>
  <si>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</si>
  <si>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</si>
  <si>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</si>
  <si>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</si>
  <si>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</si>
  <si>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</si>
  <si>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</si>
  <si>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</si>
  <si>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</si>
  <si>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</si>
  <si>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</si>
  <si>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</si>
  <si>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</si>
  <si>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</si>
  <si>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</si>
  <si>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</si>
  <si>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</si>
  <si>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</si>
  <si>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</si>
  <si>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</si>
  <si>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</si>
  <si>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</si>
  <si>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</si>
  <si>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</si>
  <si>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</si>
  <si>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</si>
  <si>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</si>
  <si>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</si>
  <si>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</si>
  <si>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</si>
  <si>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</si>
  <si>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</si>
  <si>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</si>
  <si>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</si>
  <si>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</si>
  <si>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</si>
  <si>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</si>
  <si>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</si>
  <si>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</si>
  <si>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</si>
  <si>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</si>
  <si>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</si>
  <si>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</si>
  <si>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</si>
  <si>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</si>
  <si>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Cephalanthus occidentalis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</si>
  <si>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</si>
  <si>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</si>
  <si>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</si>
  <si>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</si>
  <si>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</si>
  <si>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</si>
  <si>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</si>
  <si>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</si>
  <si>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</si>
  <si>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</si>
  <si>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</si>
  <si>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</si>
  <si>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</si>
  <si>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</si>
  <si>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</si>
  <si>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</si>
  <si>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</si>
  <si>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</si>
  <si>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</si>
  <si>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</si>
  <si>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</si>
  <si>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</si>
  <si>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</si>
  <si>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</si>
  <si>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</si>
  <si>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</si>
  <si>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</si>
  <si>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</si>
  <si>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</si>
  <si>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</si>
  <si>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</si>
  <si>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</si>
  <si>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</si>
  <si>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</si>
  <si>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</si>
  <si>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</si>
  <si>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</si>
  <si>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</si>
  <si>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</si>
  <si>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</si>
  <si>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</si>
  <si>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</si>
  <si>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</si>
  <si>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</si>
  <si>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</si>
  <si>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</si>
  <si>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Cercis canadensis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</si>
  <si>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</si>
  <si>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</si>
  <si>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</si>
  <si>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</si>
  <si>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</si>
  <si>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</si>
  <si>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</si>
  <si>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</si>
  <si>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</si>
  <si>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</si>
  <si>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</si>
  <si>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</si>
  <si>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</si>
  <si>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</si>
  <si>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</si>
  <si>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</si>
  <si>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</si>
  <si>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</si>
  <si>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</si>
  <si>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</si>
  <si>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</si>
  <si>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</si>
  <si>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</si>
  <si>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</si>
  <si>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</si>
  <si>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</si>
  <si>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</si>
  <si>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</si>
  <si>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</si>
  <si>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</si>
  <si>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</si>
  <si>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</si>
  <si>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</si>
  <si>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</si>
  <si>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</si>
  <si>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</si>
  <si>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</si>
  <si>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</si>
  <si>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</si>
  <si>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</si>
  <si>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</si>
  <si>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</si>
  <si>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</si>
  <si>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</si>
  <si>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</si>
  <si>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</si>
  <si>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</si>
  <si>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</si>
  <si>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</si>
  <si>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</si>
  <si>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</si>
  <si>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</si>
  <si>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</si>
  <si>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</si>
  <si>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</si>
  <si>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</si>
  <si>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</si>
  <si>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</si>
  <si>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</si>
  <si>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</si>
  <si>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</si>
  <si>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</si>
  <si>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</si>
  <si>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</si>
  <si>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</si>
  <si>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</si>
  <si>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</si>
  <si>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</si>
  <si>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</si>
  <si>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</si>
  <si>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</si>
  <si>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</si>
  <si>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</si>
  <si>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</si>
  <si>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</si>
  <si>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</si>
  <si>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</si>
  <si>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</si>
  <si>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</si>
  <si>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</si>
  <si>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</si>
  <si>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</si>
  <si>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</si>
  <si>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</si>
  <si>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</si>
  <si>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</si>
  <si>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</si>
  <si>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</si>
  <si>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</si>
  <si>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</si>
  <si>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</si>
  <si>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</si>
  <si>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</si>
  <si>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</si>
  <si>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</si>
  <si>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</si>
  <si>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</si>
  <si>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</si>
  <si>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</si>
  <si>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</si>
  <si>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</si>
  <si>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</si>
  <si>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</si>
  <si>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</si>
  <si>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</si>
  <si>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</si>
  <si>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</si>
  <si>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</si>
  <si>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</si>
  <si>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</si>
  <si>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</si>
  <si>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</si>
  <si>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</si>
  <si>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</si>
  <si>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</si>
  <si>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</si>
  <si>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</si>
  <si>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</si>
  <si>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</si>
  <si>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</si>
  <si>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</si>
  <si>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</si>
  <si>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</si>
  <si>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</si>
  <si>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</si>
  <si>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</si>
  <si>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</si>
  <si>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</si>
  <si>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</si>
  <si>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</si>
  <si>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</si>
  <si>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</si>
  <si>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</si>
  <si>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</si>
  <si>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</si>
  <si>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</si>
  <si>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</si>
  <si>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</si>
  <si>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</si>
  <si>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</si>
  <si>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</si>
  <si>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</si>
  <si>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</si>
  <si>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</si>
  <si>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</si>
  <si>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</si>
  <si>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</si>
  <si>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</si>
  <si>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</si>
  <si>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</si>
  <si>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</si>
  <si>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</si>
  <si>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</si>
  <si>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</si>
  <si>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</si>
  <si>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</si>
  <si>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</si>
  <si>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</si>
  <si>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</si>
  <si>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</si>
  <si>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</si>
  <si>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</si>
  <si>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</si>
  <si>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</si>
  <si>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</si>
  <si>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</si>
  <si>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</si>
  <si>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</si>
  <si>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</si>
  <si>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</si>
  <si>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</si>
  <si>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</si>
  <si>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</si>
  <si>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</si>
  <si>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</si>
  <si>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</si>
  <si>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</si>
  <si>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</si>
  <si>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</si>
  <si>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</si>
  <si>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</si>
  <si>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</si>
  <si>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</si>
  <si>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</si>
  <si>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</si>
  <si>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</si>
  <si>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</si>
  <si>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</si>
  <si>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</si>
  <si>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</si>
  <si>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</si>
  <si>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</si>
  <si>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</si>
  <si>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</si>
  <si>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</si>
  <si>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</si>
  <si>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</si>
  <si>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</si>
  <si>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</si>
  <si>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</si>
  <si>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</si>
  <si>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</si>
  <si>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</si>
  <si>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</si>
  <si>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</si>
  <si>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</si>
  <si>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</si>
  <si>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</si>
  <si>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</si>
  <si>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</si>
  <si>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</si>
  <si>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</si>
  <si>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</si>
  <si>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</si>
  <si>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</si>
  <si>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</si>
  <si>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</si>
  <si>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</si>
  <si>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</si>
  <si>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</si>
  <si>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</si>
  <si>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</si>
  <si>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</si>
  <si>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</si>
  <si>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</si>
  <si>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</si>
  <si>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</si>
  <si>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</si>
  <si>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</si>
  <si>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</si>
  <si>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</si>
  <si>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</si>
  <si>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</si>
  <si>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</si>
  <si>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</si>
  <si>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</si>
  <si>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</si>
  <si>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</si>
  <si>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</si>
  <si>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</si>
  <si>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</si>
  <si>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</si>
  <si>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</si>
  <si>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</si>
  <si>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</si>
  <si>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</si>
  <si>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</si>
  <si>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</si>
  <si>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</si>
  <si>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</si>
  <si>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</si>
  <si>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</si>
  <si>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</si>
  <si>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</si>
  <si>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</si>
  <si>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</si>
  <si>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</si>
  <si>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</si>
  <si>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</si>
  <si>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</si>
  <si>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</si>
  <si>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</si>
  <si>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</si>
  <si>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</si>
  <si>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</si>
  <si>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</si>
  <si>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</si>
  <si>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</si>
  <si>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</si>
  <si>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</si>
  <si>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</si>
  <si>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</si>
  <si>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</si>
  <si>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</si>
  <si>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</si>
  <si>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</si>
  <si>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</si>
  <si>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</si>
  <si>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</si>
  <si>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</si>
  <si>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</si>
  <si>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</si>
  <si>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</si>
  <si>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</si>
  <si>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</si>
  <si>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</si>
  <si>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</si>
  <si>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</si>
  <si>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</si>
  <si>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</si>
  <si>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</si>
  <si>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</si>
  <si>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</si>
  <si>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</si>
  <si>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</si>
  <si>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</si>
  <si>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</si>
  <si>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</si>
  <si>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</si>
  <si>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</si>
  <si>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</si>
  <si>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</si>
  <si>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</si>
  <si>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</si>
  <si>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</si>
  <si>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</si>
  <si>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</si>
  <si>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</si>
  <si>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</si>
  <si>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</si>
  <si>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</si>
  <si>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</si>
  <si>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</si>
  <si>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</si>
  <si>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</si>
  <si>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</si>
  <si>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</si>
  <si>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</si>
  <si>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</si>
  <si>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</si>
  <si>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</si>
  <si>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</si>
  <si>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</si>
  <si>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</si>
  <si>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</si>
  <si>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</si>
  <si>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</si>
  <si>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</si>
  <si>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</si>
  <si>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</si>
  <si>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</si>
  <si>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</si>
  <si>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</si>
  <si>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</si>
  <si>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</si>
  <si>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</si>
  <si>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</si>
  <si>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</si>
  <si>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</si>
  <si>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</si>
  <si>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</si>
  <si>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</si>
  <si>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</si>
  <si>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</si>
  <si>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</si>
  <si>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</si>
  <si>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</si>
  <si>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</si>
  <si>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</si>
  <si>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</si>
  <si>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</si>
  <si>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</si>
  <si>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</si>
  <si>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</si>
  <si>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</si>
  <si>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</si>
  <si>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</si>
  <si>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</si>
  <si>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</si>
  <si>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</si>
  <si>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</si>
  <si>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</si>
  <si>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</si>
  <si>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</si>
  <si>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</si>
  <si>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</si>
  <si>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</si>
  <si>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</si>
  <si>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</si>
  <si>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</si>
  <si>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</si>
  <si>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</si>
  <si>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</si>
  <si>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</si>
  <si>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</si>
  <si>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</si>
  <si>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</si>
  <si>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</si>
  <si>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</si>
  <si>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</si>
  <si>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</si>
  <si>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</si>
  <si>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</si>
  <si>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</si>
  <si>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</si>
  <si>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</si>
  <si>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</si>
  <si>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</si>
  <si>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</si>
  <si>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</si>
  <si>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</si>
  <si>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</si>
  <si>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</si>
  <si>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</si>
  <si>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</si>
  <si>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</si>
  <si>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</si>
  <si>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</si>
  <si>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</si>
  <si>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</si>
  <si>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</si>
  <si>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</si>
  <si>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</si>
  <si>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</si>
  <si>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</si>
  <si>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</si>
  <si>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</si>
  <si>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</si>
  <si>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</si>
  <si>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</si>
  <si>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</si>
  <si>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</si>
  <si>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</si>
  <si>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</si>
  <si>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</si>
  <si>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</si>
  <si>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</si>
  <si>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</si>
  <si>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</si>
  <si>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</si>
  <si>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</si>
  <si>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</si>
  <si>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</si>
  <si>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</si>
  <si>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</si>
  <si>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</si>
  <si>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</si>
  <si>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</si>
  <si>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</si>
  <si>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</si>
  <si>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</si>
  <si>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</si>
  <si>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</si>
  <si>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</si>
  <si>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</si>
  <si>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</si>
  <si>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</si>
  <si>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</si>
  <si>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</si>
  <si>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</si>
  <si>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</si>
  <si>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</si>
  <si>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</si>
  <si>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</si>
  <si>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</si>
  <si>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</si>
  <si>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</si>
  <si>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</si>
  <si>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</si>
  <si>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</si>
  <si>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</si>
  <si>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</si>
  <si>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</si>
  <si>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</si>
  <si>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</si>
  <si>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</si>
  <si>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</si>
  <si>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</si>
  <si>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</si>
  <si>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</si>
  <si>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</si>
  <si>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</si>
  <si>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</si>
  <si>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</si>
  <si>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</si>
  <si>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</si>
  <si>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</si>
  <si>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</si>
  <si>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</si>
  <si>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</si>
  <si>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</si>
  <si>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</si>
  <si>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</si>
  <si>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</si>
  <si>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</si>
  <si>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</si>
  <si>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</si>
  <si>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</si>
  <si>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</si>
  <si>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</si>
  <si>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</si>
  <si>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</si>
  <si>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</si>
  <si>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</si>
  <si>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</si>
  <si>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</si>
  <si>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</si>
  <si>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</si>
  <si>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</si>
  <si>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</si>
  <si>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</si>
  <si>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</si>
  <si>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</si>
  <si>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</si>
  <si>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</si>
  <si>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</si>
  <si>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</si>
  <si>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</si>
  <si>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</si>
  <si>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</si>
  <si>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</si>
  <si>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Cornus amomum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</si>
  <si>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</si>
  <si>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</si>
  <si>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</si>
  <si>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</si>
  <si>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</si>
  <si>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</si>
  <si>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</si>
  <si>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</si>
  <si>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</si>
  <si>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</si>
  <si>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</si>
  <si>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</si>
  <si>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</si>
  <si>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</si>
  <si>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</si>
  <si>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</si>
  <si>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</si>
  <si>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</si>
  <si>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</si>
  <si>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</si>
  <si>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</si>
  <si>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</si>
  <si>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</si>
  <si>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</si>
  <si>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</si>
  <si>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</si>
  <si>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</si>
  <si>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</si>
  <si>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</si>
  <si>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</si>
  <si>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</si>
  <si>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</si>
  <si>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</si>
  <si>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</si>
  <si>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</si>
  <si>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</si>
  <si>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</si>
  <si>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</si>
  <si>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</si>
  <si>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</si>
  <si>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</si>
  <si>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Corylus americana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</si>
  <si>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</si>
  <si>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</si>
  <si>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</si>
  <si>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</si>
  <si>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</si>
  <si>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</si>
  <si>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</si>
  <si>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</si>
  <si>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</si>
  <si>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</si>
  <si>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</si>
  <si>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</si>
  <si>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</si>
  <si>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</si>
  <si>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</si>
  <si>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</si>
  <si>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</si>
  <si>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</si>
  <si>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</si>
  <si>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</si>
  <si>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</si>
  <si>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</si>
  <si>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</si>
  <si>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</si>
  <si>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</si>
  <si>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</si>
  <si>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</si>
  <si>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</si>
  <si>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</si>
  <si>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</si>
  <si>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</si>
  <si>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</si>
  <si>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</si>
  <si>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</si>
  <si>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</si>
  <si>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</si>
  <si>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</si>
  <si>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</si>
  <si>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</si>
  <si>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</si>
  <si>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</si>
  <si>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</si>
  <si>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</si>
  <si>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</si>
  <si>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</si>
  <si>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</si>
  <si>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</si>
  <si>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</si>
  <si>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</si>
  <si>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</si>
  <si>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</si>
  <si>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</si>
  <si>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</si>
  <si>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</si>
  <si>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</si>
  <si>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</si>
  <si>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</si>
  <si>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</si>
  <si>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</si>
  <si>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</si>
  <si>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</si>
  <si>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</si>
  <si>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</si>
  <si>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</si>
  <si>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</si>
  <si>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</si>
  <si>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</si>
  <si>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</si>
  <si>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</si>
  <si>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</si>
  <si>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</si>
  <si>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</si>
  <si>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</si>
  <si>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</si>
  <si>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</si>
  <si>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</si>
  <si>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</si>
  <si>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</si>
  <si>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</si>
  <si>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</si>
  <si>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</si>
  <si>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</si>
  <si>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</si>
  <si>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</si>
  <si>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</si>
  <si>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</si>
  <si>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</si>
  <si>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</si>
  <si>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</si>
  <si>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</si>
  <si>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</si>
  <si>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</si>
  <si>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</si>
  <si>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</si>
  <si>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</si>
  <si>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</si>
  <si>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</si>
  <si>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</si>
  <si>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</si>
  <si>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</si>
  <si>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</si>
  <si>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</si>
  <si>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</si>
  <si>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</si>
  <si>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</si>
  <si>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</si>
  <si>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</si>
  <si>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</si>
  <si>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</si>
  <si>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</si>
  <si>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</si>
  <si>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</si>
  <si>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</si>
  <si>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</si>
  <si>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</si>
  <si>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</si>
  <si>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</si>
  <si>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</si>
  <si>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</si>
  <si>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</si>
  <si>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</si>
  <si>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</si>
  <si>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</si>
  <si>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</si>
  <si>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</si>
  <si>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</si>
  <si>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</si>
  <si>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</si>
  <si>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</si>
  <si>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</si>
  <si>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</si>
  <si>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</si>
  <si>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</si>
  <si>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</si>
  <si>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</si>
  <si>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</si>
  <si>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</si>
  <si>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</si>
  <si>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</si>
  <si>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</si>
  <si>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</si>
  <si>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</si>
  <si>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</si>
  <si>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</si>
  <si>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</si>
  <si>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</si>
  <si>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</si>
  <si>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</si>
  <si>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</si>
  <si>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</si>
  <si>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</si>
  <si>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</si>
  <si>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</si>
  <si>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</si>
  <si>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</si>
  <si>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</si>
  <si>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</si>
  <si>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</si>
  <si>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</si>
  <si>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</si>
  <si>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</si>
  <si>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</si>
  <si>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</si>
  <si>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</si>
  <si>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</si>
  <si>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</si>
  <si>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</si>
  <si>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</si>
  <si>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</si>
  <si>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</si>
  <si>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</si>
  <si>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</si>
  <si>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</si>
  <si>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</si>
  <si>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</si>
  <si>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</si>
  <si>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</si>
  <si>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</si>
  <si>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</si>
  <si>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</si>
  <si>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</si>
  <si>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</si>
  <si>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</si>
  <si>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</si>
  <si>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</si>
  <si>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</si>
  <si>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</si>
  <si>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</si>
  <si>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</si>
  <si>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</si>
  <si>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</si>
  <si>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</si>
  <si>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</si>
  <si>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</si>
  <si>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</si>
  <si>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</si>
  <si>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</si>
  <si>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</si>
  <si>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</si>
  <si>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</si>
  <si>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</si>
  <si>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</si>
  <si>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</si>
  <si>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</si>
  <si>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</si>
  <si>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</si>
  <si>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</si>
  <si>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</si>
  <si>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</si>
  <si>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</si>
  <si>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</si>
  <si>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</si>
  <si>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</si>
  <si>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</si>
  <si>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</si>
  <si>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</si>
  <si>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</si>
  <si>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</si>
  <si>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</si>
  <si>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</si>
  <si>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</si>
  <si>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</si>
  <si>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</si>
  <si>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</si>
  <si>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</si>
  <si>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</si>
  <si>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</si>
  <si>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</si>
  <si>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</si>
  <si>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</si>
  <si>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</si>
  <si>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</si>
  <si>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</si>
  <si>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</si>
  <si>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</si>
  <si>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</si>
  <si>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</si>
  <si>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</si>
  <si>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</si>
  <si>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</si>
  <si>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</si>
  <si>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</si>
  <si>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</si>
  <si>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</si>
  <si>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</si>
  <si>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</si>
  <si>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</si>
  <si>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</si>
  <si>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</si>
  <si>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</si>
  <si>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</si>
  <si>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</si>
  <si>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</si>
  <si>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</si>
  <si>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</si>
  <si>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</si>
  <si>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</si>
  <si>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</si>
  <si>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</si>
  <si>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</si>
  <si>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</si>
  <si>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</si>
  <si>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</si>
  <si>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</si>
  <si>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</si>
  <si>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</si>
  <si>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</si>
  <si>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</si>
  <si>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</si>
  <si>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</si>
  <si>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</si>
  <si>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</si>
  <si>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</si>
  <si>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</si>
  <si>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</si>
  <si>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</si>
  <si>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</si>
  <si>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</si>
  <si>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</si>
  <si>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</si>
  <si>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</si>
  <si>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</si>
  <si>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</si>
  <si>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</si>
  <si>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</si>
  <si>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</si>
  <si>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</si>
  <si>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</si>
  <si>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</si>
  <si>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</si>
  <si>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</si>
  <si>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</si>
  <si>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</si>
  <si>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</si>
  <si>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</si>
  <si>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</si>
  <si>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</si>
  <si>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</si>
  <si>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</si>
  <si>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</si>
  <si>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</si>
  <si>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</si>
  <si>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</si>
  <si>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</si>
  <si>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</si>
  <si>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</si>
  <si>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</si>
  <si>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</si>
  <si>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</si>
  <si>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</si>
  <si>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</si>
  <si>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</si>
  <si>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</si>
  <si>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</si>
  <si>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</si>
  <si>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</si>
  <si>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</si>
  <si>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</si>
  <si>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</si>
  <si>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</si>
  <si>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</si>
  <si>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</si>
  <si>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</si>
  <si>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</si>
  <si>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</si>
  <si>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</si>
  <si>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</si>
  <si>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</si>
  <si>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</si>
  <si>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</si>
  <si>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</si>
  <si>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</si>
  <si>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</si>
  <si>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</si>
  <si>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</si>
  <si>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</si>
  <si>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</si>
  <si>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</si>
  <si>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</si>
  <si>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</si>
  <si>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</si>
  <si>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</si>
  <si>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</si>
  <si>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</si>
  <si>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</si>
  <si>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</si>
  <si>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</si>
  <si>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</si>
  <si>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</si>
  <si>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</si>
  <si>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</si>
  <si>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</si>
  <si>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</si>
  <si>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</si>
  <si>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</si>
  <si>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</si>
  <si>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</si>
  <si>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</si>
  <si>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</si>
  <si>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</si>
  <si>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</si>
  <si>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</si>
  <si>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</si>
  <si>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</si>
  <si>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</si>
  <si>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</si>
  <si>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</si>
  <si>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</si>
  <si>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</si>
  <si>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</si>
  <si>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</si>
  <si>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</si>
  <si>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</si>
  <si>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</si>
  <si>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</si>
  <si>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</si>
  <si>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</si>
  <si>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</si>
  <si>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</si>
  <si>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</si>
  <si>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</si>
  <si>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</si>
  <si>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</si>
  <si>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</si>
  <si>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</si>
  <si>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</si>
  <si>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</si>
  <si>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</si>
  <si>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</si>
  <si>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</si>
  <si>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</si>
  <si>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</si>
  <si>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</si>
  <si>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</si>
  <si>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</si>
  <si>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</si>
  <si>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</si>
  <si>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</si>
  <si>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</si>
  <si>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</si>
  <si>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</si>
  <si>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</si>
  <si>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</si>
  <si>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</si>
  <si>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</si>
  <si>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</si>
  <si>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</si>
  <si>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</si>
  <si>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</si>
  <si>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</si>
  <si>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</si>
  <si>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</si>
  <si>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</si>
  <si>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</si>
  <si>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</si>
  <si>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</si>
  <si>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</si>
  <si>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</si>
  <si>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</si>
  <si>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</si>
  <si>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</si>
  <si>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</si>
  <si>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</si>
  <si>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</si>
  <si>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</si>
  <si>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</si>
  <si>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</si>
  <si>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</si>
  <si>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</si>
  <si>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</si>
  <si>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</si>
  <si>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</si>
  <si>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</si>
  <si>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</si>
  <si>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</si>
  <si>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</si>
  <si>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</si>
  <si>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</si>
  <si>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</si>
  <si>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</si>
  <si>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</si>
  <si>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</si>
  <si>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</si>
  <si>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</si>
  <si>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</si>
  <si>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</si>
  <si>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</si>
  <si>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</si>
  <si>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</si>
  <si>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</si>
  <si>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</si>
  <si>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</si>
  <si>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</si>
  <si>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</si>
  <si>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</si>
  <si>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</si>
  <si>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</si>
  <si>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</si>
  <si>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</si>
  <si>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</si>
  <si>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</si>
  <si>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</si>
  <si>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</si>
  <si>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</si>
  <si>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</si>
  <si>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</si>
  <si>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</si>
  <si>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</si>
  <si>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</si>
  <si>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</si>
  <si>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</si>
  <si>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</si>
  <si>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</si>
  <si>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</si>
  <si>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</si>
  <si>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</si>
  <si>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</si>
  <si>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</si>
  <si>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</si>
  <si>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</si>
  <si>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</si>
  <si>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</si>
  <si>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</si>
  <si>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</si>
  <si>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</si>
  <si>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</si>
  <si>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</si>
  <si>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</si>
  <si>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</si>
  <si>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</si>
  <si>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</si>
  <si>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</si>
  <si>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</si>
  <si>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</si>
  <si>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</si>
  <si>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</si>
  <si>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</si>
  <si>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</si>
  <si>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</si>
  <si>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</si>
  <si>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</si>
  <si>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</si>
  <si>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</si>
  <si>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</si>
  <si>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</si>
  <si>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</si>
  <si>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</si>
  <si>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</si>
  <si>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</si>
  <si>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</si>
  <si>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</si>
  <si>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</si>
  <si>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</si>
  <si>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</si>
  <si>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</si>
  <si>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</si>
  <si>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</si>
  <si>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</si>
  <si>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</si>
  <si>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</si>
  <si>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</si>
  <si>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</si>
  <si>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</si>
  <si>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</si>
  <si>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</si>
  <si>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</si>
  <si>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</si>
  <si>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</si>
  <si>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</si>
  <si>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</si>
  <si>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</si>
  <si>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</si>
  <si>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</si>
  <si>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</si>
  <si>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</si>
  <si>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</si>
  <si>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</si>
  <si>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</si>
  <si>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</si>
  <si>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</si>
  <si>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</si>
  <si>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</si>
  <si>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</si>
  <si>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</si>
  <si>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</si>
  <si>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</si>
  <si>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</si>
  <si>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</si>
  <si>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</si>
  <si>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</si>
  <si>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</si>
  <si>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</si>
  <si>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</si>
  <si>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</si>
  <si>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</si>
  <si>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</si>
  <si>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</si>
  <si>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</si>
  <si>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</si>
  <si>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</si>
  <si>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</si>
  <si>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</si>
  <si>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</si>
  <si>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</si>
  <si>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</si>
  <si>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</si>
  <si>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</si>
  <si>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</si>
  <si>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</si>
  <si>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</si>
  <si>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</si>
  <si>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</si>
  <si>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</si>
  <si>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</si>
  <si>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</si>
  <si>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</si>
  <si>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</si>
  <si>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</si>
  <si>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</si>
  <si>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</si>
  <si>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</si>
  <si>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</si>
  <si>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</si>
  <si>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</si>
  <si>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</si>
  <si>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</si>
  <si>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</si>
  <si>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</si>
  <si>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</si>
  <si>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</si>
  <si>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</si>
  <si>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</si>
  <si>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</si>
  <si>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</si>
  <si>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</si>
  <si>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</si>
  <si>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</si>
  <si>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</si>
  <si>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</si>
  <si>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</si>
  <si>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</si>
  <si>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</si>
  <si>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</si>
  <si>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</si>
  <si>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</si>
  <si>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</si>
  <si>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</si>
  <si>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</si>
  <si>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</si>
  <si>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</si>
  <si>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</si>
  <si>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</si>
  <si>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</si>
  <si>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</si>
  <si>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</si>
  <si>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</si>
  <si>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</si>
  <si>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</si>
  <si>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</si>
  <si>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</si>
  <si>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</si>
  <si>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</si>
  <si>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</si>
  <si>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</si>
  <si>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</si>
  <si>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</si>
  <si>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</si>
  <si>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</si>
  <si>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</si>
  <si>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</si>
  <si>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</si>
  <si>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</si>
  <si>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</si>
  <si>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</si>
  <si>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</si>
  <si>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</si>
  <si>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</si>
  <si>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</si>
  <si>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</si>
  <si>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</si>
  <si>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</si>
  <si>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</si>
  <si>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</si>
  <si>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</si>
  <si>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</si>
  <si>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</si>
  <si>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</si>
  <si>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</si>
  <si>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</si>
  <si>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</si>
  <si>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</si>
  <si>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</si>
  <si>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</si>
  <si>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</si>
  <si>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</si>
  <si>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</si>
  <si>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</si>
  <si>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</si>
  <si>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</si>
  <si>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</si>
  <si>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</si>
  <si>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</si>
  <si>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</si>
  <si>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</si>
  <si>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</si>
  <si>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</si>
  <si>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</si>
  <si>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</si>
  <si>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</si>
  <si>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</si>
  <si>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</si>
  <si>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</si>
  <si>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</si>
  <si>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</si>
  <si>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</si>
  <si>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</si>
  <si>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</si>
  <si>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</si>
  <si>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</si>
  <si>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</si>
  <si>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</si>
  <si>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</si>
  <si>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</si>
  <si>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</si>
  <si>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</si>
  <si>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</si>
  <si>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</si>
  <si>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</si>
  <si>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</si>
  <si>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</si>
  <si>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</si>
  <si>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</si>
  <si>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</si>
  <si>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</si>
  <si>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</si>
  <si>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</si>
  <si>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</si>
  <si>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</si>
  <si>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</si>
  <si>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</si>
  <si>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</si>
  <si>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</si>
  <si>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</si>
  <si>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</si>
  <si>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</si>
  <si>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</si>
  <si>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</si>
  <si>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</si>
  <si>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</si>
  <si>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</si>
  <si>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</si>
  <si>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</si>
  <si>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</si>
  <si>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</si>
  <si>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</si>
  <si>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</si>
  <si>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</si>
  <si>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</si>
  <si>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</si>
  <si>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</si>
  <si>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</si>
  <si>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</si>
  <si>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</si>
  <si>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</si>
  <si>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</si>
  <si>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</si>
  <si>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</si>
  <si>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</si>
  <si>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</si>
  <si>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</si>
  <si>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</si>
  <si>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</si>
  <si>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</si>
  <si>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</si>
  <si>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</si>
  <si>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</si>
  <si>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</si>
  <si>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</si>
  <si>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</si>
  <si>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</si>
  <si>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</si>
  <si>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</si>
  <si>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</si>
  <si>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</si>
  <si>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</si>
  <si>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</si>
  <si>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</si>
  <si>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</si>
  <si>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</si>
  <si>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</si>
  <si>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</si>
  <si>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</si>
  <si>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</si>
  <si>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</si>
  <si>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</si>
  <si>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</si>
  <si>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</si>
  <si>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</si>
  <si>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</si>
  <si>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</si>
  <si>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</si>
  <si>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</si>
  <si>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</si>
  <si>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</si>
  <si>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</si>
  <si>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</si>
  <si>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</si>
  <si>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</si>
  <si>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</si>
  <si>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</si>
  <si>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</si>
  <si>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</si>
  <si>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</si>
  <si>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</si>
  <si>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</si>
  <si>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</si>
  <si>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</si>
  <si>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</si>
  <si>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</si>
  <si>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</si>
  <si>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</si>
  <si>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</si>
  <si>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</si>
  <si>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</si>
  <si>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</si>
  <si>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</si>
  <si>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</si>
  <si>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</si>
  <si>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</si>
  <si>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</si>
  <si>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</si>
  <si>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</si>
  <si>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</si>
  <si>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</si>
  <si>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</si>
  <si>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</si>
  <si>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</si>
  <si>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</si>
  <si>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</si>
  <si>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</si>
  <si>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</si>
  <si>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</si>
  <si>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Diospyros virginiana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</si>
  <si>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</si>
  <si>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</si>
  <si>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</si>
  <si>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</si>
  <si>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</si>
  <si>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</si>
  <si>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</si>
  <si>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</si>
  <si>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</si>
  <si>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</si>
  <si>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</si>
  <si>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</si>
  <si>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</si>
  <si>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</si>
  <si>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</si>
  <si>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</si>
  <si>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</si>
  <si>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</si>
  <si>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</si>
  <si>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</si>
  <si>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</si>
  <si>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</si>
  <si>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</si>
  <si>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</si>
  <si>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</si>
  <si>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</si>
  <si>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</si>
  <si>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</si>
  <si>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</si>
  <si>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</si>
  <si>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</si>
  <si>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</si>
  <si>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</si>
  <si>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</si>
  <si>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</si>
  <si>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</si>
  <si>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</si>
  <si>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</si>
  <si>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</si>
  <si>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</si>
  <si>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</si>
  <si>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</si>
  <si>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</si>
  <si>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</si>
  <si>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</si>
  <si>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</si>
  <si>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</si>
  <si>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</si>
  <si>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</si>
  <si>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</si>
  <si>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</si>
  <si>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</si>
  <si>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</si>
  <si>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</si>
  <si>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</si>
  <si>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</si>
  <si>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</si>
  <si>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</si>
  <si>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</si>
  <si>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</si>
  <si>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</si>
  <si>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</si>
  <si>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</si>
  <si>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</si>
  <si>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</si>
  <si>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</si>
  <si>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</si>
  <si>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</si>
  <si>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</si>
  <si>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</si>
  <si>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</si>
  <si>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</si>
  <si>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</si>
  <si>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</si>
  <si>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</si>
  <si>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</si>
  <si>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</si>
  <si>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</si>
  <si>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</si>
  <si>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</si>
  <si>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</si>
  <si>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</si>
  <si>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</si>
  <si>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</si>
  <si>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</si>
  <si>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</si>
  <si>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</si>
  <si>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</si>
  <si>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</si>
  <si>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</si>
  <si>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</si>
  <si>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</si>
  <si>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</si>
  <si>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</si>
  <si>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</si>
  <si>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</si>
  <si>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</si>
  <si>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</si>
  <si>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</si>
  <si>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</si>
  <si>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</si>
  <si>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</si>
  <si>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</si>
  <si>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</si>
  <si>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</si>
  <si>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</si>
  <si>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</si>
  <si>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</si>
  <si>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</si>
  <si>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</si>
  <si>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</si>
  <si>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</si>
  <si>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</si>
  <si>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</si>
  <si>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</si>
  <si>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</si>
  <si>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</si>
  <si>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</si>
  <si>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</si>
  <si>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</si>
  <si>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</si>
  <si>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</si>
  <si>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</si>
  <si>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</si>
  <si>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</si>
  <si>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</si>
  <si>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</si>
  <si>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</si>
  <si>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</si>
  <si>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</si>
  <si>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</si>
  <si>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</si>
  <si>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</si>
  <si>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</si>
  <si>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</si>
  <si>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</si>
  <si>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</si>
  <si>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</si>
  <si>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</si>
  <si>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</si>
  <si>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</si>
  <si>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</si>
  <si>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</si>
  <si>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</si>
  <si>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</si>
  <si>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</si>
  <si>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</si>
  <si>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</si>
  <si>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</si>
  <si>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</si>
  <si>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</si>
  <si>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</si>
  <si>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</si>
  <si>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</si>
  <si>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</si>
  <si>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</si>
  <si>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</si>
  <si>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</si>
  <si>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</si>
  <si>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</si>
  <si>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</si>
  <si>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</si>
  <si>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</si>
  <si>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</si>
  <si>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</si>
  <si>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</si>
  <si>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</si>
  <si>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</si>
  <si>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</si>
  <si>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</si>
  <si>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</si>
  <si>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</si>
  <si>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</si>
  <si>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</si>
  <si>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</si>
  <si>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</si>
  <si>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</si>
  <si>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</si>
  <si>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</si>
  <si>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</si>
  <si>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</si>
  <si>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</si>
  <si>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</si>
  <si>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</si>
  <si>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</si>
  <si>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</si>
  <si>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</si>
  <si>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</si>
  <si>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</si>
  <si>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</si>
  <si>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</si>
  <si>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</si>
  <si>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</si>
  <si>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</si>
  <si>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</si>
  <si>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</si>
  <si>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</si>
  <si>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</si>
  <si>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</si>
  <si>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</si>
  <si>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</si>
  <si>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</si>
  <si>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</si>
  <si>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</si>
  <si>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</si>
  <si>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</si>
  <si>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</si>
  <si>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</si>
  <si>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</si>
  <si>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</si>
  <si>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</si>
  <si>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</si>
  <si>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</si>
  <si>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</si>
  <si>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</si>
  <si>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</si>
  <si>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</si>
  <si>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</si>
  <si>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</si>
  <si>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</si>
  <si>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</si>
  <si>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</si>
  <si>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</si>
  <si>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</si>
  <si>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</si>
  <si>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</si>
  <si>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</si>
  <si>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</si>
  <si>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</si>
  <si>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</si>
  <si>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</si>
  <si>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</si>
  <si>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</si>
  <si>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</si>
  <si>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</si>
  <si>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</si>
  <si>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</si>
  <si>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</si>
  <si>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</si>
  <si>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</si>
  <si>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</si>
  <si>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</si>
  <si>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</si>
  <si>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</si>
  <si>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</si>
  <si>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</si>
  <si>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</si>
  <si>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</si>
  <si>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</si>
  <si>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</si>
  <si>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</si>
  <si>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</si>
  <si>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</si>
  <si>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</si>
  <si>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</si>
  <si>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</si>
  <si>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</si>
  <si>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</si>
  <si>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</si>
  <si>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</si>
  <si>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</si>
  <si>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</si>
  <si>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</si>
  <si>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</si>
  <si>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</si>
  <si>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</si>
  <si>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</si>
  <si>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</si>
  <si>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</si>
  <si>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</si>
  <si>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</si>
  <si>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</si>
  <si>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</si>
  <si>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</si>
  <si>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</si>
  <si>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</si>
  <si>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</si>
  <si>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</si>
  <si>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</si>
  <si>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</si>
  <si>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</si>
  <si>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</si>
  <si>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</si>
  <si>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</si>
  <si>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</si>
  <si>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</si>
  <si>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</si>
  <si>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</si>
  <si>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</si>
  <si>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</si>
  <si>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</si>
  <si>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</si>
  <si>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</si>
  <si>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</si>
  <si>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</si>
  <si>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</si>
  <si>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</si>
  <si>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</si>
  <si>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</si>
  <si>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</si>
  <si>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</si>
  <si>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</si>
  <si>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</si>
  <si>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</si>
  <si>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</si>
  <si>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</si>
  <si>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</si>
  <si>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</si>
  <si>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</si>
  <si>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</si>
  <si>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</si>
  <si>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</si>
  <si>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</si>
  <si>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</si>
  <si>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</si>
  <si>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</si>
  <si>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</si>
  <si>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</si>
  <si>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</si>
  <si>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</si>
  <si>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</si>
  <si>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</si>
  <si>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</si>
  <si>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</si>
  <si>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</si>
  <si>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</si>
  <si>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</si>
  <si>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</si>
  <si>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</si>
  <si>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</si>
  <si>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</si>
  <si>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</si>
  <si>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</si>
  <si>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</si>
  <si>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</si>
  <si>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</si>
  <si>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</si>
  <si>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</si>
  <si>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</si>
  <si>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</si>
  <si>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</si>
  <si>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</si>
  <si>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</si>
  <si>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</si>
  <si>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</si>
  <si>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</si>
  <si>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</si>
  <si>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</si>
  <si>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</si>
  <si>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</si>
  <si>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</si>
  <si>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</si>
  <si>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</si>
  <si>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</si>
  <si>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</si>
  <si>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</si>
  <si>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</si>
  <si>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</si>
  <si>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</si>
  <si>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</si>
  <si>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</si>
  <si>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</si>
  <si>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</si>
  <si>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</si>
  <si>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</si>
  <si>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</si>
  <si>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</si>
  <si>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</si>
  <si>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</si>
  <si>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</si>
  <si>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</si>
  <si>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</si>
  <si>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</si>
  <si>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</si>
  <si>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</si>
  <si>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</si>
  <si>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</si>
  <si>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</si>
  <si>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</si>
  <si>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</si>
  <si>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</si>
  <si>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</si>
  <si>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</si>
  <si>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</si>
  <si>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</si>
  <si>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</si>
  <si>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</si>
  <si>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</si>
  <si>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</si>
  <si>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</si>
  <si>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</si>
  <si>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</si>
  <si>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</si>
  <si>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</si>
  <si>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</si>
  <si>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</si>
  <si>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</si>
  <si>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</si>
  <si>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</si>
  <si>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</si>
  <si>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</si>
  <si>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</si>
  <si>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</si>
  <si>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</si>
  <si>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</si>
  <si>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</si>
  <si>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</si>
  <si>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</si>
  <si>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</si>
  <si>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</si>
  <si>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</si>
  <si>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</si>
  <si>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</si>
  <si>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</si>
  <si>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</si>
  <si>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</si>
  <si>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</si>
  <si>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</si>
  <si>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</si>
  <si>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</si>
  <si>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</si>
  <si>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</si>
  <si>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</si>
  <si>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</si>
  <si>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</si>
  <si>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</si>
  <si>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</si>
  <si>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</si>
  <si>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</si>
  <si>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</si>
  <si>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</si>
  <si>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</si>
  <si>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</si>
  <si>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</si>
  <si>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</si>
  <si>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</si>
  <si>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</si>
  <si>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</si>
  <si>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</si>
  <si>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</si>
  <si>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</si>
  <si>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</si>
  <si>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</si>
  <si>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</si>
  <si>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</si>
  <si>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</si>
  <si>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</si>
  <si>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</si>
  <si>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</si>
  <si>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</si>
  <si>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</si>
  <si>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</si>
  <si>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</si>
  <si>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</si>
  <si>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</si>
  <si>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</si>
  <si>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</si>
  <si>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</si>
  <si>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</si>
  <si>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</si>
  <si>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</si>
  <si>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</si>
  <si>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</si>
  <si>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</si>
  <si>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</si>
  <si>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</si>
  <si>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</si>
  <si>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</si>
  <si>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</si>
  <si>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</si>
  <si>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</si>
  <si>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</si>
  <si>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</si>
  <si>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</si>
  <si>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</si>
  <si>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</si>
  <si>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</si>
  <si>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</si>
  <si>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</si>
  <si>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</si>
  <si>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</si>
  <si>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</si>
  <si>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</si>
  <si>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</si>
  <si>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</si>
  <si>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</si>
  <si>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</si>
  <si>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</si>
  <si>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</si>
  <si>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</si>
  <si>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</si>
  <si>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</si>
  <si>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</si>
  <si>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</si>
  <si>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</si>
  <si>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</si>
  <si>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</si>
  <si>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</si>
  <si>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</si>
  <si>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</si>
  <si>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</si>
  <si>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</si>
  <si>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</si>
  <si>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</si>
  <si>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</si>
  <si>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</si>
  <si>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</si>
  <si>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</si>
  <si>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</si>
  <si>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</si>
  <si>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</si>
  <si>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</si>
  <si>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</si>
  <si>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</si>
  <si>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</si>
  <si>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</si>
  <si>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</si>
  <si>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</si>
  <si>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</si>
  <si>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</si>
  <si>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</si>
  <si>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</si>
  <si>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</si>
  <si>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</si>
  <si>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</si>
  <si>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</si>
  <si>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</si>
  <si>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</si>
  <si>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</si>
  <si>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</si>
  <si>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</si>
  <si>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</si>
  <si>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</si>
  <si>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</si>
  <si>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</si>
  <si>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</si>
  <si>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</si>
  <si>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</si>
  <si>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</si>
  <si>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</si>
  <si>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</si>
  <si>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</si>
  <si>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</si>
  <si>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</si>
  <si>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</si>
  <si>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</si>
  <si>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</si>
  <si>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</si>
  <si>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</si>
  <si>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</si>
  <si>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</si>
  <si>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</si>
  <si>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</si>
  <si>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</si>
  <si>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</si>
  <si>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</si>
  <si>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</si>
  <si>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</si>
  <si>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</si>
  <si>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</si>
  <si>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</si>
  <si>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</si>
  <si>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</si>
  <si>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</si>
  <si>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</si>
  <si>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</si>
  <si>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</si>
  <si>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</si>
  <si>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</si>
  <si>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</si>
  <si>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</si>
  <si>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</si>
  <si>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</si>
  <si>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</si>
  <si>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</si>
  <si>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</si>
  <si>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</si>
  <si>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</si>
  <si>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</si>
  <si>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</si>
  <si>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</si>
  <si>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</si>
  <si>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</si>
  <si>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</si>
  <si>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</si>
  <si>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</si>
  <si>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</si>
  <si>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</si>
  <si>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</si>
  <si>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</si>
  <si>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</si>
  <si>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</si>
  <si>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</si>
  <si>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</si>
  <si>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</si>
  <si>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</si>
  <si>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</si>
  <si>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</si>
  <si>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</si>
  <si>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</si>
  <si>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</si>
  <si>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</si>
  <si>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</si>
  <si>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</si>
  <si>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</si>
  <si>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</si>
  <si>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</si>
  <si>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</si>
  <si>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</si>
  <si>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</si>
  <si>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</si>
  <si>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</si>
  <si>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</si>
  <si>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</si>
  <si>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</si>
  <si>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</si>
  <si>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</si>
  <si>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</si>
  <si>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</si>
  <si>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</si>
  <si>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</si>
  <si>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</si>
  <si>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</si>
  <si>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</si>
  <si>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</si>
  <si>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</si>
  <si>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</si>
  <si>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</si>
  <si>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</si>
  <si>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</si>
  <si>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</si>
  <si>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</si>
  <si>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</si>
  <si>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</si>
  <si>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</si>
  <si>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</si>
  <si>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</si>
  <si>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</si>
  <si>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</si>
  <si>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</si>
  <si>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</si>
  <si>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</si>
  <si>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</si>
  <si>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</si>
  <si>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</si>
  <si>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</si>
  <si>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</si>
  <si>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</si>
  <si>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</si>
  <si>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</si>
  <si>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</si>
  <si>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</si>
  <si>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</si>
  <si>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</si>
  <si>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</si>
  <si>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</si>
  <si>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</si>
  <si>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</si>
  <si>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</si>
  <si>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</si>
  <si>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</si>
  <si>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</si>
  <si>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</si>
  <si>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</si>
  <si>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</si>
  <si>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</si>
  <si>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</si>
  <si>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</si>
  <si>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</si>
  <si>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</si>
  <si>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</si>
  <si>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</si>
  <si>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</si>
  <si>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</si>
  <si>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</si>
  <si>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</si>
  <si>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</si>
  <si>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</si>
  <si>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</si>
  <si>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</si>
  <si>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</si>
  <si>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</si>
  <si>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</si>
  <si>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</si>
  <si>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</si>
  <si>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</si>
  <si>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</si>
  <si>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</si>
  <si>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</si>
  <si>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</si>
  <si>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</si>
  <si>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</si>
  <si>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</si>
  <si>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</si>
  <si>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</si>
  <si>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</si>
  <si>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</si>
  <si>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</si>
  <si>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</si>
  <si>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</si>
  <si>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</si>
  <si>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</si>
  <si>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</si>
  <si>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</si>
  <si>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</si>
  <si>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</si>
  <si>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</si>
  <si>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</si>
  <si>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</si>
  <si>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</si>
  <si>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</si>
  <si>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</si>
  <si>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</si>
  <si>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</si>
  <si>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</si>
  <si>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</si>
  <si>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</si>
  <si>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</si>
  <si>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</si>
  <si>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</si>
  <si>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</si>
  <si>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</si>
  <si>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</si>
  <si>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</si>
  <si>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</si>
  <si>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</si>
  <si>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</si>
  <si>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</si>
  <si>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</si>
  <si>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</si>
  <si>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</si>
  <si>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</si>
  <si>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</si>
  <si>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</si>
  <si>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</si>
  <si>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</si>
  <si>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</si>
  <si>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</si>
  <si>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</si>
  <si>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</si>
  <si>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</si>
  <si>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</si>
  <si>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</si>
  <si>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</si>
  <si>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</si>
  <si>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</si>
  <si>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</si>
  <si>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</si>
  <si>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</si>
  <si>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</si>
  <si>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</si>
  <si>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</si>
  <si>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</si>
  <si>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</si>
  <si>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</si>
  <si>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</si>
  <si>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</si>
  <si>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</si>
  <si>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</si>
  <si>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</si>
  <si>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</si>
  <si>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</si>
  <si>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</si>
  <si>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</si>
  <si>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</si>
  <si>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</si>
  <si>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</si>
  <si>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</si>
  <si>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</si>
  <si>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</si>
  <si>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</si>
  <si>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</si>
  <si>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</si>
  <si>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</si>
  <si>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</si>
  <si>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</si>
  <si>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</si>
  <si>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</si>
  <si>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</si>
  <si>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</si>
  <si>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</si>
  <si>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</si>
  <si>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</si>
  <si>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</si>
  <si>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</si>
  <si>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</si>
  <si>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</si>
  <si>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</si>
  <si>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</si>
  <si>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</si>
  <si>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</si>
  <si>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</si>
  <si>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</si>
  <si>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</si>
  <si>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</si>
  <si>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</si>
  <si>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</si>
  <si>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</si>
  <si>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</si>
  <si>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</si>
  <si>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</si>
  <si>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</si>
  <si>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</si>
  <si>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</si>
  <si>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</si>
  <si>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</si>
  <si>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</si>
  <si>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</si>
  <si>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</si>
  <si>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</si>
  <si>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</si>
  <si>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</si>
  <si>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</si>
  <si>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</si>
  <si>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</si>
  <si>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</si>
  <si>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</si>
  <si>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</si>
  <si>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</si>
  <si>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</si>
  <si>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</si>
  <si>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</si>
  <si>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</si>
  <si>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</si>
  <si>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</si>
  <si>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</si>
  <si>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</si>
  <si>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</si>
  <si>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</si>
  <si>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</si>
  <si>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</si>
  <si>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</si>
  <si>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</si>
  <si>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</si>
  <si>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</si>
  <si>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</si>
  <si>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</si>
  <si>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</si>
  <si>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</si>
  <si>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</si>
  <si>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</si>
  <si>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</si>
  <si>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</si>
  <si>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</si>
  <si>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</si>
  <si>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</si>
  <si>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</si>
  <si>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</si>
  <si>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</si>
  <si>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</si>
  <si>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</si>
  <si>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</si>
  <si>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</si>
  <si>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</si>
  <si>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</si>
  <si>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</si>
  <si>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</si>
  <si>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</si>
  <si>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</si>
  <si>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</si>
  <si>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</si>
  <si>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</si>
  <si>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</si>
  <si>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</si>
  <si>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</si>
  <si>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</si>
  <si>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</si>
  <si>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</si>
  <si>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</si>
  <si>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</si>
  <si>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</si>
  <si>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</si>
  <si>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</si>
  <si>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</si>
  <si>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</si>
  <si>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</si>
  <si>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</si>
  <si>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</si>
  <si>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</si>
  <si>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</si>
  <si>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</si>
  <si>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</si>
  <si>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</si>
  <si>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</si>
  <si>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</si>
  <si>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</si>
  <si>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</si>
  <si>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</si>
  <si>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</si>
  <si>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</si>
  <si>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</si>
  <si>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</si>
  <si>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</si>
  <si>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</si>
  <si>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</si>
  <si>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</si>
  <si>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</si>
  <si>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</si>
  <si>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</si>
  <si>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</si>
  <si>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</si>
  <si>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</si>
  <si>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</si>
  <si>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</si>
  <si>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</si>
  <si>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</si>
  <si>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</si>
  <si>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</si>
  <si>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</si>
  <si>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</si>
  <si>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</si>
  <si>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</si>
  <si>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</si>
  <si>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</si>
  <si>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</si>
  <si>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</si>
  <si>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</si>
  <si>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</si>
  <si>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</si>
  <si>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</si>
  <si>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</si>
  <si>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</si>
  <si>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</si>
  <si>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</si>
  <si>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</si>
  <si>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</si>
  <si>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</si>
  <si>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</si>
  <si>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</si>
  <si>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</si>
  <si>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</si>
  <si>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</si>
  <si>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</si>
  <si>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</si>
  <si>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</si>
  <si>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</si>
  <si>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</si>
  <si>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</si>
  <si>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</si>
  <si>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</si>
  <si>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</si>
  <si>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</si>
  <si>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</si>
  <si>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</si>
  <si>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</si>
  <si>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</si>
  <si>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</si>
  <si>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</si>
  <si>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</si>
  <si>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</si>
  <si>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</si>
  <si>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</si>
  <si>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</si>
  <si>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</si>
  <si>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</si>
  <si>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</si>
  <si>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</si>
  <si>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</si>
  <si>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</si>
  <si>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</si>
  <si>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</si>
  <si>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</si>
  <si>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</si>
  <si>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</si>
  <si>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</si>
  <si>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</si>
  <si>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</si>
  <si>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</si>
  <si>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</si>
  <si>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</si>
  <si>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</si>
  <si>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</si>
  <si>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</si>
  <si>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</si>
  <si>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</si>
  <si>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</si>
  <si>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</si>
  <si>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</si>
  <si>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</si>
  <si>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</si>
  <si>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</si>
  <si>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</si>
  <si>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</si>
  <si>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</si>
  <si>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</si>
  <si>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</si>
  <si>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</si>
  <si>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</si>
  <si>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</si>
  <si>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</si>
  <si>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</si>
  <si>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</si>
  <si>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</si>
  <si>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</si>
  <si>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</si>
  <si>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</si>
  <si>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</si>
  <si>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</si>
  <si>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</si>
  <si>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</si>
  <si>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</si>
  <si>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</si>
  <si>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</si>
  <si>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</si>
  <si>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</si>
  <si>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</si>
  <si>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</si>
  <si>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</si>
  <si>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</si>
  <si>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</si>
  <si>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</si>
  <si>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</si>
  <si>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</si>
  <si>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</si>
  <si>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</si>
  <si>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</si>
  <si>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</si>
  <si>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</si>
  <si>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</si>
  <si>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</si>
  <si>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</si>
  <si>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</si>
  <si>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</si>
  <si>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</si>
  <si>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</si>
  <si>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</si>
  <si>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</si>
  <si>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</si>
  <si>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</si>
  <si>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</si>
  <si>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</si>
  <si>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</si>
  <si>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</si>
  <si>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</si>
  <si>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</si>
  <si>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</si>
  <si>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</si>
  <si>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</si>
  <si>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</si>
  <si>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</si>
  <si>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</si>
  <si>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</si>
  <si>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</si>
  <si>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</si>
  <si>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</si>
  <si>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</si>
  <si>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</si>
  <si>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</si>
  <si>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</si>
  <si>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</si>
  <si>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</si>
  <si>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</si>
  <si>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</si>
  <si>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</si>
  <si>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</si>
  <si>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</si>
  <si>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</si>
  <si>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</si>
  <si>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</si>
  <si>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</si>
  <si>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</si>
  <si>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</si>
  <si>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</si>
  <si>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</si>
  <si>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</si>
  <si>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</si>
  <si>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</si>
  <si>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</si>
  <si>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</si>
  <si>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</si>
  <si>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</si>
  <si>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</si>
  <si>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</si>
  <si>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</si>
  <si>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</si>
  <si>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</si>
  <si>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</si>
  <si>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</si>
  <si>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</si>
  <si>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</si>
  <si>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</si>
  <si>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</si>
  <si>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</si>
  <si>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</si>
  <si>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</si>
  <si>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</si>
  <si>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</si>
  <si>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</si>
  <si>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</si>
  <si>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</si>
  <si>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</si>
  <si>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</si>
  <si>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</si>
  <si>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</si>
  <si>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</si>
  <si>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</si>
  <si>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</si>
  <si>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</si>
  <si>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</si>
  <si>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</si>
  <si>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</si>
  <si>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</si>
  <si>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</si>
  <si>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</si>
  <si>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</si>
  <si>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</si>
  <si>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</si>
  <si>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</si>
  <si>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</si>
  <si>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</si>
  <si>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</si>
  <si>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Gleditsia triacanthos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</si>
  <si>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</si>
  <si>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</si>
  <si>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</si>
  <si>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</si>
  <si>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</si>
  <si>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</si>
  <si>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</si>
  <si>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</si>
  <si>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</si>
  <si>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</si>
  <si>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</si>
  <si>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</si>
  <si>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</si>
  <si>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</si>
  <si>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</si>
  <si>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</si>
  <si>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</si>
  <si>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</si>
  <si>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</si>
  <si>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</si>
  <si>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</si>
  <si>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</si>
  <si>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</si>
  <si>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</si>
  <si>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</si>
  <si>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</si>
  <si>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</si>
  <si>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</si>
  <si>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</si>
  <si>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</si>
  <si>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</si>
  <si>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</si>
  <si>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</si>
  <si>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</si>
  <si>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</si>
  <si>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</si>
  <si>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</si>
  <si>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</si>
  <si>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</si>
  <si>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</si>
  <si>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</si>
  <si>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</si>
  <si>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</si>
  <si>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</si>
  <si>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</si>
  <si>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</si>
  <si>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</si>
  <si>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</si>
  <si>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</si>
  <si>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</si>
  <si>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</si>
  <si>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</si>
  <si>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</si>
  <si>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</si>
  <si>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</si>
  <si>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</si>
  <si>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</si>
  <si>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</si>
  <si>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</si>
  <si>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</si>
  <si>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</si>
  <si>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</si>
  <si>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</si>
  <si>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</si>
  <si>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</si>
  <si>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</si>
  <si>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</si>
  <si>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</si>
  <si>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</si>
  <si>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</si>
  <si>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</si>
  <si>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</si>
  <si>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</si>
  <si>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</si>
  <si>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</si>
  <si>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</si>
  <si>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</si>
  <si>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</si>
  <si>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</si>
  <si>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</si>
  <si>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</si>
  <si>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</si>
  <si>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</si>
  <si>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</si>
  <si>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</si>
  <si>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</si>
  <si>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</si>
  <si>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</si>
  <si>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</si>
  <si>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</si>
  <si>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</si>
  <si>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</si>
  <si>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</si>
  <si>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</si>
  <si>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</si>
  <si>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</si>
  <si>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</si>
  <si>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</si>
  <si>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</si>
  <si>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</si>
  <si>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</si>
  <si>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</si>
  <si>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</si>
  <si>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</si>
  <si>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</si>
  <si>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</si>
  <si>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</si>
  <si>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</si>
  <si>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</si>
  <si>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</si>
  <si>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</si>
  <si>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</si>
  <si>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</si>
  <si>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</si>
  <si>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</si>
  <si>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</si>
  <si>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</si>
  <si>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</si>
  <si>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</si>
  <si>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</si>
  <si>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</si>
  <si>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</si>
  <si>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Hamamelis virginiana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</si>
  <si>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</si>
  <si>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</si>
  <si>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</si>
  <si>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</si>
  <si>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</si>
  <si>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</si>
  <si>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</si>
  <si>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</si>
  <si>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</si>
  <si>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</si>
  <si>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</si>
  <si>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</si>
  <si>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</si>
  <si>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</si>
  <si>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</si>
  <si>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</si>
  <si>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</si>
  <si>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</si>
  <si>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</si>
  <si>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</si>
  <si>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</si>
  <si>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</si>
  <si>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</si>
  <si>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</si>
  <si>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</si>
  <si>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</si>
  <si>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</si>
  <si>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</si>
  <si>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</si>
  <si>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</si>
  <si>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</si>
  <si>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</si>
  <si>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</si>
  <si>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</si>
  <si>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</si>
  <si>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</si>
  <si>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</si>
  <si>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</si>
  <si>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</si>
  <si>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</si>
  <si>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</si>
  <si>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</si>
  <si>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</si>
  <si>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</si>
  <si>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</si>
  <si>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</si>
  <si>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</si>
  <si>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</si>
  <si>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</si>
  <si>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</si>
  <si>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</si>
  <si>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</si>
  <si>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</si>
  <si>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</si>
  <si>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</si>
  <si>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</si>
  <si>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</si>
  <si>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</si>
  <si>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</si>
  <si>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</si>
  <si>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</si>
  <si>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</si>
  <si>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</si>
  <si>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</si>
  <si>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</si>
  <si>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</si>
  <si>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</si>
  <si>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</si>
  <si>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</si>
  <si>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</si>
  <si>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</si>
  <si>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</si>
  <si>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</si>
  <si>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</si>
  <si>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</si>
  <si>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</si>
  <si>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</si>
  <si>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</si>
  <si>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</si>
  <si>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</si>
  <si>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</si>
  <si>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</si>
  <si>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</si>
  <si>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</si>
  <si>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</si>
  <si>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</si>
  <si>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</si>
  <si>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</si>
  <si>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</si>
  <si>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</si>
  <si>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</si>
  <si>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</si>
  <si>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</si>
  <si>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</si>
  <si>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</si>
  <si>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</si>
  <si>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</si>
  <si>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</si>
  <si>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</si>
  <si>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</si>
  <si>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</si>
  <si>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</si>
  <si>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</si>
  <si>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</si>
  <si>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</si>
  <si>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</si>
  <si>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</si>
  <si>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</si>
  <si>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</si>
  <si>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</si>
  <si>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</si>
  <si>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</si>
  <si>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</si>
  <si>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</si>
  <si>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</si>
  <si>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</si>
  <si>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</si>
  <si>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</si>
  <si>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</si>
  <si>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</si>
  <si>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</si>
  <si>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</si>
  <si>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</si>
  <si>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</si>
  <si>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</si>
  <si>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</si>
  <si>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</si>
  <si>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</si>
  <si>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</si>
  <si>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</si>
  <si>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</si>
  <si>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</si>
  <si>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</si>
  <si>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</si>
  <si>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</si>
  <si>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</si>
  <si>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</si>
  <si>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</si>
  <si>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</si>
  <si>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</si>
  <si>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</si>
  <si>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</si>
  <si>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</si>
  <si>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</si>
  <si>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</si>
  <si>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</si>
  <si>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</si>
  <si>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</si>
  <si>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</si>
  <si>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</si>
  <si>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</si>
  <si>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</si>
  <si>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</si>
  <si>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</si>
  <si>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</si>
  <si>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</si>
  <si>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</si>
  <si>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</si>
  <si>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</si>
  <si>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</si>
  <si>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</si>
  <si>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</si>
  <si>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</si>
  <si>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</si>
  <si>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</si>
  <si>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</si>
  <si>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</si>
  <si>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</si>
  <si>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</si>
  <si>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</si>
  <si>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</si>
  <si>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</si>
  <si>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</si>
  <si>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</si>
  <si>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</si>
  <si>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</si>
  <si>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</si>
  <si>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</si>
  <si>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</si>
  <si>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</si>
  <si>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</si>
  <si>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</si>
  <si>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</si>
  <si>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</si>
  <si>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</si>
  <si>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</si>
  <si>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</si>
  <si>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</si>
  <si>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</si>
  <si>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</si>
  <si>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</si>
  <si>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</si>
  <si>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</si>
  <si>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</si>
  <si>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</si>
  <si>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</si>
  <si>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</si>
  <si>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</si>
  <si>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</si>
  <si>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</si>
  <si>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</si>
  <si>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</si>
  <si>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</si>
  <si>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</si>
  <si>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</si>
  <si>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</si>
  <si>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</si>
  <si>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</si>
  <si>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</si>
  <si>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</si>
  <si>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</si>
  <si>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</si>
  <si>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</si>
  <si>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</si>
  <si>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</si>
  <si>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</si>
  <si>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</si>
  <si>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</si>
  <si>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</si>
  <si>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</si>
  <si>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</si>
  <si>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</si>
  <si>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</si>
  <si>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</si>
  <si>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</si>
  <si>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</si>
  <si>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</si>
  <si>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</si>
  <si>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</si>
  <si>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</si>
  <si>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</si>
  <si>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</si>
  <si>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</si>
  <si>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</si>
  <si>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</si>
  <si>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</si>
  <si>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</si>
  <si>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</si>
  <si>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</si>
  <si>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</si>
  <si>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</si>
  <si>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</si>
  <si>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</si>
  <si>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</si>
  <si>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</si>
  <si>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</si>
  <si>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</si>
  <si>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</si>
  <si>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</si>
  <si>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</si>
  <si>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</si>
  <si>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</si>
  <si>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</si>
  <si>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</si>
  <si>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</si>
  <si>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</si>
  <si>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</si>
  <si>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</si>
  <si>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</si>
  <si>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</si>
  <si>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</si>
  <si>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</si>
  <si>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</si>
  <si>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</si>
  <si>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</si>
  <si>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</si>
  <si>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</si>
  <si>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</si>
  <si>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</si>
  <si>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</si>
  <si>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</si>
  <si>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</si>
  <si>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</si>
  <si>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</si>
  <si>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</si>
  <si>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</si>
  <si>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</si>
  <si>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</si>
  <si>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</si>
  <si>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</si>
  <si>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</si>
  <si>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</si>
  <si>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</si>
  <si>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</si>
  <si>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</si>
  <si>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</si>
  <si>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</si>
  <si>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</si>
  <si>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</si>
  <si>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</si>
  <si>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</si>
  <si>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</si>
  <si>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</si>
  <si>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</si>
  <si>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</si>
  <si>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</si>
  <si>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</si>
  <si>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</si>
  <si>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</si>
  <si>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</si>
  <si>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</si>
  <si>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</si>
  <si>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</si>
  <si>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</si>
  <si>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</si>
  <si>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</si>
  <si>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</si>
  <si>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</si>
  <si>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</si>
  <si>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</si>
  <si>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</si>
  <si>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</si>
  <si>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</si>
  <si>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</si>
  <si>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</si>
  <si>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</si>
  <si>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</si>
  <si>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</si>
  <si>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</si>
  <si>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</si>
  <si>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</si>
  <si>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</si>
  <si>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</si>
  <si>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</si>
  <si>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</si>
  <si>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</si>
  <si>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</si>
  <si>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</si>
  <si>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</si>
  <si>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</si>
  <si>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</si>
  <si>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</si>
  <si>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</si>
  <si>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</si>
  <si>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</si>
  <si>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</si>
  <si>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</si>
  <si>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</si>
  <si>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</si>
  <si>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</si>
  <si>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</si>
  <si>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</si>
  <si>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</si>
  <si>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</si>
  <si>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</si>
  <si>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</si>
  <si>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</si>
  <si>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</si>
  <si>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</si>
  <si>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</si>
  <si>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</si>
  <si>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</si>
  <si>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</si>
  <si>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</si>
  <si>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</si>
  <si>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</si>
  <si>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</si>
  <si>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</si>
  <si>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</si>
  <si>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</si>
  <si>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</si>
  <si>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</si>
  <si>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</si>
  <si>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</si>
  <si>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</si>
  <si>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</si>
  <si>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</si>
  <si>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</si>
  <si>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</si>
  <si>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</si>
  <si>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</si>
  <si>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</si>
  <si>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</si>
  <si>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</si>
  <si>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</si>
  <si>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</si>
  <si>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</si>
  <si>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</si>
  <si>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</si>
  <si>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</si>
  <si>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</si>
  <si>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</si>
  <si>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</si>
  <si>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</si>
  <si>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</si>
  <si>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</si>
  <si>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</si>
  <si>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</si>
  <si>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</si>
  <si>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</si>
  <si>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</si>
  <si>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</si>
  <si>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</si>
  <si>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</si>
  <si>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</si>
  <si>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</si>
  <si>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</si>
  <si>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</si>
  <si>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</si>
  <si>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</si>
  <si>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</si>
  <si>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</si>
  <si>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</si>
  <si>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</si>
  <si>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</si>
  <si>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</si>
  <si>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</si>
  <si>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</si>
  <si>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</si>
  <si>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</si>
  <si>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</si>
  <si>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</si>
  <si>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</si>
  <si>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</si>
  <si>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</si>
  <si>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</si>
  <si>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</si>
  <si>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</si>
  <si>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</si>
  <si>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</si>
  <si>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</si>
  <si>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</si>
  <si>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</si>
  <si>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</si>
  <si>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</si>
  <si>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</si>
  <si>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</si>
  <si>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</si>
  <si>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</si>
  <si>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</si>
  <si>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</si>
  <si>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</si>
  <si>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</si>
  <si>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</si>
  <si>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</si>
  <si>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</si>
  <si>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</si>
  <si>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</si>
  <si>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</si>
  <si>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</si>
  <si>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</si>
  <si>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</si>
  <si>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</si>
  <si>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</si>
  <si>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</si>
  <si>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</si>
  <si>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</si>
  <si>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</si>
  <si>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</si>
  <si>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</si>
  <si>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</si>
  <si>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</si>
  <si>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</si>
  <si>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</si>
  <si>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</si>
  <si>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</si>
  <si>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</si>
  <si>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</si>
  <si>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</si>
  <si>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</si>
  <si>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</si>
  <si>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</si>
  <si>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</si>
  <si>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</si>
  <si>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</si>
  <si>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</si>
  <si>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</si>
  <si>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</si>
  <si>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</si>
  <si>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</si>
  <si>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</si>
  <si>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</si>
  <si>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</si>
  <si>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</si>
  <si>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</si>
  <si>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</si>
  <si>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</si>
  <si>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</si>
  <si>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</si>
  <si>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</si>
  <si>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</si>
  <si>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</si>
  <si>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</si>
  <si>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</si>
  <si>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</si>
  <si>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</si>
  <si>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</si>
  <si>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</si>
  <si>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</si>
  <si>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</si>
  <si>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</si>
  <si>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</si>
  <si>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</si>
  <si>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</si>
  <si>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</si>
  <si>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</si>
  <si>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</si>
  <si>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</si>
  <si>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</si>
  <si>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</si>
  <si>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</si>
  <si>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</si>
  <si>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</si>
  <si>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</si>
  <si>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</si>
  <si>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</si>
  <si>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</si>
  <si>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</si>
  <si>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</si>
  <si>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</si>
  <si>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</si>
  <si>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</si>
  <si>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</si>
  <si>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</si>
  <si>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</si>
  <si>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</si>
  <si>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</si>
  <si>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</si>
  <si>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</si>
  <si>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</si>
  <si>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</si>
  <si>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</si>
  <si>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</si>
  <si>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</si>
  <si>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</si>
  <si>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</si>
  <si>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</si>
  <si>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</si>
  <si>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</si>
  <si>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</si>
  <si>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</si>
  <si>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</si>
  <si>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</si>
  <si>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</si>
  <si>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</si>
  <si>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</si>
  <si>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</si>
  <si>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</si>
  <si>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</si>
  <si>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</si>
  <si>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</si>
  <si>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</si>
  <si>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</si>
  <si>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</si>
  <si>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</si>
  <si>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</si>
  <si>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</si>
  <si>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</si>
  <si>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</si>
  <si>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</si>
  <si>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</si>
  <si>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</si>
  <si>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</si>
  <si>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</si>
  <si>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</si>
  <si>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</si>
  <si>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</si>
  <si>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</si>
  <si>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</si>
  <si>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</si>
  <si>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</si>
  <si>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</si>
  <si>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</si>
  <si>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</si>
  <si>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</si>
  <si>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</si>
  <si>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</si>
  <si>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</si>
  <si>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</si>
  <si>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</si>
  <si>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</si>
  <si>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</si>
  <si>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</si>
  <si>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</si>
  <si>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</si>
  <si>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</si>
  <si>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</si>
  <si>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</si>
  <si>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</si>
  <si>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</si>
  <si>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</si>
  <si>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</si>
  <si>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</si>
  <si>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</si>
  <si>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</si>
  <si>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</si>
  <si>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</si>
  <si>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</si>
  <si>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</si>
  <si>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</si>
  <si>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</si>
  <si>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</si>
  <si>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</si>
  <si>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</si>
  <si>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</si>
  <si>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</si>
  <si>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</si>
  <si>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</si>
  <si>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</si>
  <si>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</si>
  <si>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</si>
  <si>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</si>
  <si>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</si>
  <si>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</si>
  <si>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</si>
  <si>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</si>
  <si>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</si>
  <si>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</si>
  <si>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</si>
  <si>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</si>
  <si>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</si>
  <si>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</si>
  <si>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</si>
  <si>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</si>
  <si>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</si>
  <si>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</si>
  <si>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</si>
  <si>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</si>
  <si>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</si>
  <si>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</si>
  <si>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</si>
  <si>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</si>
  <si>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</si>
  <si>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</si>
  <si>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</si>
  <si>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</si>
  <si>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</si>
  <si>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</si>
  <si>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</si>
  <si>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</si>
  <si>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</si>
  <si>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</si>
  <si>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</si>
  <si>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</si>
  <si>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</si>
  <si>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</si>
  <si>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</si>
  <si>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</si>
  <si>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</si>
  <si>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</si>
  <si>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</si>
  <si>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</si>
  <si>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</si>
  <si>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</si>
  <si>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</si>
  <si>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</si>
  <si>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</si>
  <si>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</si>
  <si>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</si>
  <si>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</si>
  <si>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</si>
  <si>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</si>
  <si>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</si>
  <si>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</si>
  <si>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</si>
  <si>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</si>
  <si>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</si>
  <si>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</si>
  <si>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</si>
  <si>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</si>
  <si>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</si>
  <si>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</si>
  <si>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</si>
  <si>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</si>
  <si>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</si>
  <si>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</si>
  <si>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</si>
  <si>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</si>
  <si>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</si>
  <si>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</si>
  <si>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</si>
  <si>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</si>
  <si>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</si>
  <si>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</si>
  <si>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</si>
  <si>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</si>
  <si>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</si>
  <si>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</si>
  <si>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</si>
  <si>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</si>
  <si>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</si>
  <si>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</si>
  <si>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</si>
  <si>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</si>
  <si>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</si>
  <si>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</si>
  <si>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</si>
  <si>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</si>
  <si>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</si>
  <si>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</si>
  <si>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</si>
  <si>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</si>
  <si>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</si>
  <si>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</si>
  <si>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</si>
  <si>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</si>
  <si>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</si>
  <si>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</si>
  <si>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</si>
  <si>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</si>
  <si>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</si>
  <si>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</si>
  <si>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</si>
  <si>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</si>
  <si>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</si>
  <si>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</si>
  <si>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</si>
  <si>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</si>
  <si>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</si>
  <si>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</si>
  <si>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</si>
  <si>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</si>
  <si>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</si>
  <si>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</si>
  <si>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</si>
  <si>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</si>
  <si>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</si>
  <si>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</si>
  <si>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</si>
  <si>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</si>
  <si>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</si>
  <si>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</si>
  <si>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</si>
  <si>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</si>
  <si>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</si>
  <si>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</si>
  <si>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</si>
  <si>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</si>
  <si>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</si>
  <si>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</si>
  <si>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</si>
  <si>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</si>
  <si>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</si>
  <si>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</si>
  <si>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</si>
  <si>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</si>
  <si>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</si>
  <si>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</si>
  <si>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</si>
  <si>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</si>
  <si>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</si>
  <si>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</si>
  <si>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</si>
  <si>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</si>
  <si>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</si>
  <si>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</si>
  <si>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</si>
  <si>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</si>
  <si>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</si>
  <si>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</si>
  <si>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</si>
  <si>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</si>
  <si>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</si>
  <si>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</si>
  <si>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</si>
  <si>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</si>
  <si>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</si>
  <si>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</si>
  <si>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</si>
  <si>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</si>
  <si>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</si>
  <si>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</si>
  <si>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</si>
  <si>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</si>
  <si>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</si>
  <si>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</si>
  <si>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</si>
  <si>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</si>
  <si>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</si>
  <si>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</si>
  <si>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</si>
  <si>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</si>
  <si>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</si>
  <si>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</si>
  <si>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</si>
  <si>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</si>
  <si>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</si>
  <si>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</si>
  <si>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</si>
  <si>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</si>
  <si>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</si>
  <si>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</si>
  <si>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</si>
  <si>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</si>
  <si>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</si>
  <si>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</si>
  <si>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</si>
  <si>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</si>
  <si>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</si>
  <si>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</si>
  <si>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</si>
  <si>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</si>
  <si>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</si>
  <si>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</si>
  <si>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</si>
  <si>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</si>
  <si>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</si>
  <si>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</si>
  <si>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</si>
  <si>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</si>
  <si>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</si>
  <si>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</si>
  <si>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</si>
  <si>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</si>
  <si>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</si>
  <si>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</si>
  <si>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</si>
  <si>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</si>
  <si>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</si>
  <si>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</si>
  <si>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</si>
  <si>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</si>
  <si>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</si>
  <si>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</si>
  <si>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</si>
  <si>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</si>
  <si>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</si>
  <si>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</si>
  <si>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</si>
  <si>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</si>
  <si>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</si>
  <si>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</si>
  <si>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</si>
  <si>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</si>
  <si>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</si>
  <si>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</si>
  <si>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</si>
  <si>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</si>
  <si>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</si>
  <si>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</si>
  <si>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</si>
  <si>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</si>
  <si>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</si>
  <si>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</si>
  <si>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</si>
  <si>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</si>
  <si>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</si>
  <si>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</si>
  <si>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</si>
  <si>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</si>
  <si>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</si>
  <si>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</si>
  <si>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</si>
  <si>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</si>
  <si>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</si>
  <si>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</si>
  <si>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</si>
  <si>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</si>
  <si>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</si>
  <si>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</si>
  <si>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</si>
  <si>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</si>
  <si>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</si>
  <si>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</si>
  <si>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</si>
  <si>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</si>
  <si>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</si>
  <si>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</si>
  <si>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</si>
  <si>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</si>
  <si>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</si>
  <si>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</si>
  <si>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</si>
  <si>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</si>
  <si>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</si>
  <si>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</si>
  <si>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</si>
  <si>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</si>
  <si>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</si>
  <si>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</si>
  <si>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</si>
  <si>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</si>
  <si>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</si>
  <si>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</si>
  <si>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</si>
  <si>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</si>
  <si>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</si>
  <si>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</si>
  <si>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</si>
  <si>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</si>
  <si>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</si>
  <si>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</si>
  <si>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</si>
  <si>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</si>
  <si>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</si>
  <si>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</si>
  <si>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</si>
  <si>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</si>
  <si>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</si>
  <si>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</si>
  <si>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</si>
  <si>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</si>
  <si>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</si>
  <si>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</si>
  <si>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</si>
  <si>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</si>
  <si>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</si>
  <si>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</si>
  <si>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</si>
  <si>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</si>
  <si>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</si>
  <si>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</si>
  <si>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</si>
  <si>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</si>
  <si>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</si>
  <si>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</si>
  <si>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</si>
  <si>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</si>
  <si>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</si>
  <si>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</si>
  <si>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</si>
  <si>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</si>
  <si>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</si>
  <si>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</si>
  <si>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</si>
  <si>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</si>
  <si>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</si>
  <si>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</si>
  <si>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</si>
  <si>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</si>
  <si>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</si>
  <si>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</si>
  <si>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</si>
  <si>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</si>
  <si>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</si>
  <si>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</si>
  <si>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</si>
  <si>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</si>
  <si>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</si>
  <si>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</si>
  <si>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</si>
  <si>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</si>
  <si>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</si>
  <si>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</si>
  <si>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</si>
  <si>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</si>
  <si>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</si>
  <si>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</si>
  <si>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</si>
  <si>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</si>
  <si>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</si>
  <si>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</si>
  <si>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</si>
  <si>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</si>
  <si>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</si>
  <si>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</si>
  <si>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</si>
  <si>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</si>
  <si>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</si>
  <si>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</si>
  <si>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</si>
  <si>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</si>
  <si>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</si>
  <si>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</si>
  <si>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</si>
  <si>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</si>
  <si>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</si>
  <si>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</si>
  <si>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</si>
  <si>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</si>
  <si>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</si>
  <si>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</si>
  <si>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</si>
  <si>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</si>
  <si>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</si>
  <si>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</si>
  <si>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</si>
  <si>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</si>
  <si>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</si>
  <si>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</si>
  <si>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</si>
  <si>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</si>
  <si>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</si>
  <si>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</si>
  <si>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</si>
  <si>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</si>
  <si>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</si>
  <si>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</si>
  <si>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</si>
  <si>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</si>
  <si>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</si>
  <si>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</si>
  <si>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</si>
  <si>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</si>
  <si>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</si>
  <si>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</si>
  <si>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</si>
  <si>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</si>
  <si>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</si>
  <si>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</si>
  <si>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</si>
  <si>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</si>
  <si>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</si>
  <si>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</si>
  <si>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</si>
  <si>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</si>
  <si>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</si>
  <si>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</si>
  <si>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</si>
  <si>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</si>
  <si>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</si>
  <si>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</si>
  <si>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</si>
  <si>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</si>
  <si>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</si>
  <si>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</si>
  <si>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</si>
  <si>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</si>
  <si>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</si>
  <si>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</si>
  <si>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</si>
  <si>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</si>
  <si>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</si>
  <si>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</si>
  <si>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</si>
  <si>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</si>
  <si>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</si>
  <si>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</si>
  <si>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</si>
  <si>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</si>
  <si>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</si>
  <si>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</si>
  <si>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</si>
  <si>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</si>
  <si>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</si>
  <si>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</si>
  <si>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</si>
  <si>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</si>
  <si>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</si>
  <si>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</si>
  <si>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</si>
  <si>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</si>
  <si>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</si>
  <si>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</si>
  <si>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</si>
  <si>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</si>
  <si>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</si>
  <si>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</si>
  <si>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</si>
  <si>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</si>
  <si>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</si>
  <si>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</si>
  <si>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</si>
  <si>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</si>
  <si>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</si>
  <si>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</si>
  <si>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</si>
  <si>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</si>
  <si>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</si>
  <si>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</si>
  <si>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</si>
  <si>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</si>
  <si>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</si>
  <si>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</si>
  <si>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</si>
  <si>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</si>
  <si>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</si>
  <si>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</si>
  <si>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</si>
  <si>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</si>
  <si>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</si>
  <si>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</si>
  <si>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</si>
  <si>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</si>
  <si>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</si>
  <si>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</si>
  <si>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</si>
  <si>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</si>
  <si>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</si>
  <si>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</si>
  <si>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</si>
  <si>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</si>
  <si>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</si>
  <si>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</si>
  <si>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</si>
  <si>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</si>
  <si>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</si>
  <si>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</si>
  <si>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</si>
  <si>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</si>
  <si>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</si>
  <si>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</si>
  <si>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</si>
  <si>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</si>
  <si>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</si>
  <si>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</si>
  <si>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</si>
  <si>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</si>
  <si>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</si>
  <si>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</si>
  <si>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</si>
  <si>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</si>
  <si>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</si>
  <si>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</si>
  <si>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</si>
  <si>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</si>
  <si>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</si>
  <si>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</si>
  <si>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</si>
  <si>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</si>
  <si>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</si>
  <si>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</si>
  <si>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</si>
  <si>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</si>
  <si>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</si>
  <si>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</si>
  <si>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</si>
  <si>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</si>
  <si>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</si>
  <si>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</si>
  <si>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</si>
  <si>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</si>
  <si>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</si>
  <si>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</si>
  <si>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</si>
  <si>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</si>
  <si>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</si>
  <si>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</si>
  <si>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</si>
  <si>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</si>
  <si>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</si>
  <si>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</si>
  <si>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</si>
  <si>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</si>
  <si>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</si>
  <si>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</si>
  <si>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</si>
  <si>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</si>
  <si>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</si>
  <si>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</si>
  <si>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</si>
  <si>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</si>
  <si>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</si>
  <si>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</si>
  <si>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</si>
  <si>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</si>
  <si>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</si>
  <si>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</si>
  <si>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</si>
  <si>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</si>
  <si>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</si>
  <si>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</si>
  <si>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</si>
  <si>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</si>
  <si>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</si>
  <si>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</si>
  <si>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</si>
  <si>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</si>
  <si>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</si>
  <si>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</si>
  <si>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</si>
  <si>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</si>
  <si>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</si>
  <si>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</si>
  <si>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</si>
  <si>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</si>
  <si>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</si>
  <si>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</si>
  <si>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</si>
  <si>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</si>
  <si>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</si>
  <si>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</si>
  <si>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</si>
  <si>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</si>
  <si>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</si>
  <si>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</si>
  <si>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</si>
  <si>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</si>
  <si>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</si>
  <si>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</si>
  <si>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</si>
  <si>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</si>
  <si>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</si>
  <si>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</si>
  <si>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</si>
  <si>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</si>
  <si>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</si>
  <si>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</si>
  <si>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</si>
  <si>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</si>
  <si>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</si>
  <si>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</si>
  <si>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</si>
  <si>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</si>
  <si>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</si>
  <si>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</si>
  <si>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</si>
  <si>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</si>
  <si>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</si>
  <si>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</si>
  <si>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</si>
  <si>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</si>
  <si>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</si>
  <si>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</si>
  <si>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</si>
  <si>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</si>
  <si>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</si>
  <si>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</si>
  <si>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</si>
  <si>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</si>
  <si>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</si>
  <si>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</si>
  <si>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</si>
  <si>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</si>
  <si>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</si>
  <si>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</si>
  <si>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</si>
  <si>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</si>
  <si>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</si>
  <si>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</si>
  <si>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</si>
  <si>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</si>
  <si>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</si>
  <si>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</si>
  <si>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</si>
  <si>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</si>
  <si>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</si>
  <si>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</si>
  <si>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</si>
  <si>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</si>
  <si>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</si>
  <si>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</si>
  <si>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</si>
  <si>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</si>
  <si>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</si>
  <si>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</si>
  <si>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</si>
  <si>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</si>
  <si>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</si>
  <si>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</si>
  <si>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</si>
  <si>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</si>
  <si>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</si>
  <si>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</si>
  <si>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</si>
  <si>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</si>
  <si>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</si>
  <si>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</si>
  <si>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</si>
  <si>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</si>
  <si>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</si>
  <si>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</si>
  <si>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</si>
  <si>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</si>
  <si>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</si>
  <si>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</si>
  <si>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</si>
  <si>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</si>
  <si>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</si>
  <si>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</si>
  <si>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</si>
  <si>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</si>
  <si>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</si>
  <si>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</si>
  <si>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</si>
  <si>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</si>
  <si>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</si>
  <si>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</si>
  <si>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</si>
  <si>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</si>
  <si>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</si>
  <si>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</si>
  <si>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</si>
  <si>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</si>
  <si>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</si>
  <si>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</si>
  <si>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</si>
  <si>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</si>
  <si>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</si>
  <si>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</si>
  <si>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</si>
  <si>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</si>
  <si>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</si>
  <si>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</si>
  <si>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</si>
  <si>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</si>
  <si>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</si>
  <si>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</si>
  <si>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</si>
  <si>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</si>
  <si>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</si>
  <si>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</si>
  <si>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</si>
  <si>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</si>
  <si>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</si>
  <si>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</si>
  <si>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</si>
  <si>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</si>
  <si>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</si>
  <si>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</si>
  <si>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</si>
  <si>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Ligustrum sinense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</si>
  <si>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</si>
  <si>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</si>
  <si>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</si>
  <si>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</si>
  <si>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</si>
  <si>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</si>
  <si>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</si>
  <si>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</si>
  <si>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</si>
  <si>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</si>
  <si>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</si>
  <si>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</si>
  <si>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</si>
  <si>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</si>
  <si>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</si>
  <si>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</si>
  <si>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</si>
  <si>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</si>
  <si>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</si>
  <si>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</si>
  <si>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</si>
  <si>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</si>
  <si>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</si>
  <si>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</si>
  <si>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</si>
  <si>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</si>
  <si>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</si>
  <si>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</si>
  <si>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</si>
  <si>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</si>
  <si>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</si>
  <si>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</si>
  <si>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</si>
  <si>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</si>
  <si>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</si>
  <si>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</si>
  <si>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</si>
  <si>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</si>
  <si>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</si>
  <si>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</si>
  <si>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</si>
  <si>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Lindera benzoin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</si>
  <si>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</si>
  <si>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</si>
  <si>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</si>
  <si>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</si>
  <si>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</si>
  <si>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</si>
  <si>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</si>
  <si>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</si>
  <si>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</si>
  <si>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</si>
  <si>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</si>
  <si>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</si>
  <si>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</si>
  <si>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</si>
  <si>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</si>
  <si>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</si>
  <si>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</si>
  <si>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</si>
  <si>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</si>
  <si>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</si>
  <si>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</si>
  <si>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</si>
  <si>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</si>
  <si>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</si>
  <si>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</si>
  <si>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</si>
  <si>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</si>
  <si>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</si>
  <si>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</si>
  <si>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</si>
  <si>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</si>
  <si>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</si>
  <si>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</si>
  <si>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</si>
  <si>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</si>
  <si>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</si>
  <si>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</si>
  <si>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</si>
  <si>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</si>
  <si>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</si>
  <si>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</si>
  <si>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</si>
  <si>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</si>
  <si>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</si>
  <si>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</si>
  <si>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</si>
  <si>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</si>
  <si>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</si>
  <si>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</si>
  <si>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</si>
  <si>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</si>
  <si>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</si>
  <si>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</si>
  <si>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Tuliptree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</si>
  <si>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</si>
  <si>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</si>
  <si>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</si>
  <si>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</si>
  <si>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</si>
  <si>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</si>
  <si>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</si>
  <si>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</si>
  <si>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</si>
  <si>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</si>
  <si>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</si>
  <si>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</si>
  <si>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</si>
  <si>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</si>
  <si>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</si>
  <si>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</si>
  <si>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</si>
  <si>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</si>
  <si>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</si>
  <si>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</si>
  <si>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</si>
  <si>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</si>
  <si>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</si>
  <si>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</si>
  <si>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</si>
  <si>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</si>
  <si>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</si>
  <si>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</si>
  <si>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</si>
  <si>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</si>
  <si>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</si>
  <si>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</si>
  <si>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</si>
  <si>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</si>
  <si>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</si>
  <si>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</si>
  <si>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</si>
  <si>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</si>
  <si>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</si>
  <si>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</si>
  <si>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</si>
  <si>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</si>
  <si>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</si>
  <si>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</si>
  <si>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</si>
  <si>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</si>
  <si>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</si>
  <si>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</si>
  <si>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</si>
  <si>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</si>
  <si>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</si>
  <si>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</si>
  <si>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</si>
  <si>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</si>
  <si>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</si>
  <si>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</si>
  <si>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</si>
  <si>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</si>
  <si>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</si>
  <si>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</si>
  <si>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</si>
  <si>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</si>
  <si>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</si>
  <si>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</si>
  <si>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</si>
  <si>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</si>
  <si>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</si>
  <si>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</si>
  <si>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</si>
  <si>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</si>
  <si>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</si>
  <si>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</si>
  <si>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</si>
  <si>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</si>
  <si>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</si>
  <si>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</si>
  <si>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</si>
  <si>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</si>
  <si>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</si>
  <si>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</si>
  <si>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</si>
  <si>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</si>
  <si>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</si>
  <si>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</si>
  <si>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</si>
  <si>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</si>
  <si>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</si>
  <si>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</si>
  <si>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</si>
  <si>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</si>
  <si>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</si>
  <si>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</si>
  <si>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Lonicera maackii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</si>
  <si>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</si>
  <si>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</si>
  <si>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</si>
  <si>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</si>
  <si>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</si>
  <si>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</si>
  <si>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</si>
  <si>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</si>
  <si>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</si>
  <si>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</si>
  <si>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</si>
  <si>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</si>
  <si>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</si>
  <si>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</si>
  <si>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</si>
  <si>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</si>
  <si>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</si>
  <si>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</si>
  <si>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</si>
  <si>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</si>
  <si>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</si>
  <si>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</si>
  <si>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</si>
  <si>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</si>
  <si>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</si>
  <si>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</si>
  <si>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</si>
  <si>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</si>
  <si>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</si>
  <si>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</si>
  <si>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</si>
  <si>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</si>
  <si>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</si>
  <si>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</si>
  <si>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</si>
  <si>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</si>
  <si>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</si>
  <si>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</si>
  <si>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</si>
  <si>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</si>
  <si>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</si>
  <si>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</si>
  <si>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</si>
  <si>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</si>
  <si>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</si>
  <si>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</si>
  <si>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</si>
  <si>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</si>
  <si>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</si>
  <si>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</si>
  <si>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</si>
  <si>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</si>
  <si>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</si>
  <si>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</si>
  <si>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</si>
  <si>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</si>
  <si>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</si>
  <si>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</si>
  <si>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</si>
  <si>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</si>
  <si>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</si>
  <si>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</si>
  <si>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</si>
  <si>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</si>
  <si>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</si>
  <si>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</si>
  <si>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</si>
  <si>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</si>
  <si>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</si>
  <si>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</si>
  <si>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</si>
  <si>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</si>
  <si>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</si>
  <si>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</si>
  <si>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</si>
  <si>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</si>
  <si>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</si>
  <si>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</si>
  <si>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</si>
  <si>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</si>
  <si>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</si>
  <si>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</si>
  <si>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</si>
  <si>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</si>
  <si>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</si>
  <si>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</si>
  <si>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</si>
  <si>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</si>
  <si>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</si>
  <si>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</si>
  <si>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</si>
  <si>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</si>
  <si>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</si>
  <si>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</si>
  <si>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</si>
  <si>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</si>
  <si>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</si>
  <si>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</si>
  <si>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</si>
  <si>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</si>
  <si>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</si>
  <si>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</si>
  <si>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</si>
  <si>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</si>
  <si>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</si>
  <si>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</si>
  <si>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</si>
  <si>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</si>
  <si>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</si>
  <si>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</si>
  <si>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</si>
  <si>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</si>
  <si>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</si>
  <si>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</si>
  <si>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</si>
  <si>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</si>
  <si>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</si>
  <si>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</si>
  <si>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</si>
  <si>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</si>
  <si>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</si>
  <si>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</si>
  <si>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</si>
  <si>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</si>
  <si>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</si>
  <si>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</si>
  <si>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</si>
  <si>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</si>
  <si>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</si>
  <si>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</si>
  <si>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</si>
  <si>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</si>
  <si>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</si>
  <si>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</si>
  <si>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</si>
  <si>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</si>
  <si>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</si>
  <si>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</si>
  <si>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</si>
  <si>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</si>
  <si>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</si>
  <si>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</si>
  <si>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</si>
  <si>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</si>
  <si>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</si>
  <si>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</si>
  <si>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</si>
  <si>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</si>
  <si>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</si>
  <si>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</si>
  <si>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</si>
  <si>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</si>
  <si>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</si>
  <si>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</si>
  <si>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</si>
  <si>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</si>
  <si>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</si>
  <si>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</si>
  <si>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</si>
  <si>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</si>
  <si>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</si>
  <si>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</si>
  <si>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</si>
  <si>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</si>
  <si>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</si>
  <si>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</si>
  <si>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</si>
  <si>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</si>
  <si>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</si>
  <si>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</si>
  <si>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</si>
  <si>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</si>
  <si>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</si>
  <si>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</si>
  <si>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</si>
  <si>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</si>
  <si>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</si>
  <si>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</si>
  <si>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</si>
  <si>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</si>
  <si>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</si>
  <si>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</si>
  <si>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</si>
  <si>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</si>
  <si>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</si>
  <si>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</si>
  <si>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</si>
  <si>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</si>
  <si>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</si>
  <si>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</si>
  <si>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</si>
  <si>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</si>
  <si>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</si>
  <si>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</si>
  <si>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</si>
  <si>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</si>
  <si>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</si>
  <si>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</si>
  <si>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</si>
  <si>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</si>
  <si>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</si>
  <si>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</si>
  <si>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</si>
  <si>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</si>
  <si>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</si>
  <si>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</si>
  <si>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</si>
  <si>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</si>
  <si>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</si>
  <si>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</si>
  <si>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</si>
  <si>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Maclura pomifera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</si>
  <si>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</si>
  <si>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</si>
  <si>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</si>
  <si>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</si>
  <si>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</si>
  <si>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</si>
  <si>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</si>
  <si>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</si>
  <si>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</si>
  <si>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</si>
  <si>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</si>
  <si>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</si>
  <si>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</si>
  <si>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</si>
  <si>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</si>
  <si>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</si>
  <si>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</si>
  <si>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</si>
  <si>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</si>
  <si>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</si>
  <si>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</si>
  <si>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</si>
  <si>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</si>
  <si>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</si>
  <si>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</si>
  <si>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</si>
  <si>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</si>
  <si>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</si>
  <si>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</si>
  <si>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</si>
  <si>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</si>
  <si>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</si>
  <si>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</si>
  <si>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</si>
  <si>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</si>
  <si>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</si>
  <si>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</si>
  <si>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</si>
  <si>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</si>
  <si>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</si>
  <si>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</si>
  <si>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</si>
  <si>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</si>
  <si>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</si>
  <si>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</si>
  <si>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</si>
  <si>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</si>
  <si>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</si>
  <si>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</si>
  <si>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</si>
  <si>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</si>
  <si>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</si>
  <si>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</si>
  <si>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</si>
  <si>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</si>
  <si>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</si>
  <si>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</si>
  <si>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</si>
  <si>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</si>
  <si>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</si>
  <si>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</si>
  <si>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</si>
  <si>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</si>
  <si>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</si>
  <si>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</si>
  <si>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</si>
  <si>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</si>
  <si>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</si>
  <si>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</si>
  <si>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</si>
  <si>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</si>
  <si>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</si>
  <si>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</si>
  <si>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</si>
  <si>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</si>
  <si>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</si>
  <si>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</si>
  <si>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</si>
  <si>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</si>
  <si>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</si>
  <si>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</si>
  <si>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</si>
  <si>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</si>
  <si>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</si>
  <si>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</si>
  <si>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</si>
  <si>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</si>
  <si>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</si>
  <si>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</si>
  <si>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</si>
  <si>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</si>
  <si>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</si>
  <si>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</si>
  <si>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</si>
  <si>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</si>
  <si>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</si>
  <si>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</si>
  <si>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</si>
  <si>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</si>
  <si>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</si>
  <si>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</si>
  <si>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</si>
  <si>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</si>
  <si>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</si>
  <si>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</si>
  <si>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</si>
  <si>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</si>
  <si>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</si>
  <si>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</si>
  <si>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</si>
  <si>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</si>
  <si>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</si>
  <si>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</si>
  <si>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</si>
  <si>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</si>
  <si>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</si>
  <si>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</si>
  <si>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</si>
  <si>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</si>
  <si>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</si>
  <si>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</si>
  <si>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</si>
  <si>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</si>
  <si>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</si>
  <si>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</si>
  <si>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</si>
  <si>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</si>
  <si>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</si>
  <si>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</si>
  <si>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</si>
  <si>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</si>
  <si>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</si>
  <si>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</si>
  <si>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</si>
  <si>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</si>
  <si>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</si>
  <si>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</si>
  <si>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</si>
  <si>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</si>
  <si>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</si>
  <si>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</si>
  <si>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</si>
  <si>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</si>
  <si>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</si>
  <si>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</si>
  <si>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</si>
  <si>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</si>
  <si>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</si>
  <si>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</si>
  <si>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</si>
  <si>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</si>
  <si>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</si>
  <si>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</si>
  <si>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</si>
  <si>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</si>
  <si>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</si>
  <si>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</si>
  <si>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</si>
  <si>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</si>
  <si>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</si>
  <si>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</si>
  <si>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</si>
  <si>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</si>
  <si>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</si>
  <si>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</si>
  <si>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</si>
  <si>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</si>
  <si>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</si>
  <si>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</si>
  <si>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</si>
  <si>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</si>
  <si>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</si>
  <si>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</si>
  <si>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</si>
  <si>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</si>
  <si>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</si>
  <si>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</si>
  <si>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</si>
  <si>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</si>
  <si>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</si>
  <si>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</si>
  <si>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</si>
  <si>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</si>
  <si>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</si>
  <si>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</si>
  <si>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</si>
  <si>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</si>
  <si>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</si>
  <si>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</si>
  <si>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</si>
  <si>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</si>
  <si>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</si>
  <si>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</si>
  <si>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</si>
  <si>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</si>
  <si>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</si>
  <si>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</si>
  <si>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</si>
  <si>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</si>
  <si>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</si>
  <si>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</si>
  <si>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</si>
  <si>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</si>
  <si>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</si>
  <si>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</si>
  <si>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</si>
  <si>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</si>
  <si>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</si>
  <si>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</si>
  <si>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</si>
  <si>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</si>
  <si>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</si>
  <si>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</si>
  <si>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</si>
  <si>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</si>
  <si>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</si>
  <si>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</si>
  <si>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</si>
  <si>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</si>
  <si>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</si>
  <si>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</si>
  <si>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</si>
  <si>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</si>
  <si>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</si>
  <si>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</si>
  <si>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</si>
  <si>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</si>
  <si>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</si>
  <si>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</si>
  <si>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</si>
  <si>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</si>
  <si>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</si>
  <si>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</si>
  <si>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</si>
  <si>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</si>
  <si>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</si>
  <si>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</si>
  <si>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</si>
  <si>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</si>
  <si>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</si>
  <si>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</si>
  <si>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</si>
  <si>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</si>
  <si>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</si>
  <si>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</si>
  <si>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</si>
  <si>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</si>
  <si>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</si>
  <si>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</si>
  <si>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</si>
  <si>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</si>
  <si>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</si>
  <si>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</si>
  <si>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</si>
  <si>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</si>
  <si>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</si>
  <si>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</si>
  <si>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</si>
  <si>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</si>
  <si>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</si>
  <si>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</si>
  <si>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</si>
  <si>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</si>
  <si>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</si>
  <si>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</si>
  <si>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</si>
  <si>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</si>
  <si>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</si>
  <si>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</si>
  <si>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</si>
  <si>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</si>
  <si>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</si>
  <si>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</si>
  <si>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</si>
  <si>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</si>
  <si>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</si>
  <si>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</si>
  <si>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</si>
  <si>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</si>
  <si>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</si>
  <si>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</si>
  <si>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</si>
  <si>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</si>
  <si>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</si>
  <si>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</si>
  <si>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</si>
  <si>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</si>
  <si>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</si>
  <si>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</si>
  <si>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</si>
  <si>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</si>
  <si>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</si>
  <si>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</si>
  <si>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</si>
  <si>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</si>
  <si>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</si>
  <si>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</si>
  <si>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</si>
  <si>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</si>
  <si>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</si>
  <si>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</si>
  <si>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</si>
  <si>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</si>
  <si>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</si>
  <si>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</si>
  <si>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</si>
  <si>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</si>
  <si>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</si>
  <si>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</si>
  <si>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</si>
  <si>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</si>
  <si>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</si>
  <si>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</si>
  <si>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</si>
  <si>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</si>
  <si>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</si>
  <si>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</si>
  <si>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</si>
  <si>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</si>
  <si>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</si>
  <si>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</si>
  <si>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</si>
  <si>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</si>
  <si>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</si>
  <si>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</si>
  <si>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</si>
  <si>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</si>
  <si>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</si>
  <si>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</si>
  <si>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</si>
  <si>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</si>
  <si>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</si>
  <si>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</si>
  <si>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</si>
  <si>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</si>
  <si>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</si>
  <si>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</si>
  <si>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</si>
  <si>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</si>
  <si>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</si>
  <si>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</si>
  <si>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</si>
  <si>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</si>
  <si>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</si>
  <si>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</si>
  <si>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</si>
  <si>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</si>
  <si>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</si>
  <si>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</si>
  <si>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</si>
  <si>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</si>
  <si>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</si>
  <si>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</si>
  <si>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</si>
  <si>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</si>
  <si>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</si>
  <si>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</si>
  <si>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</si>
  <si>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</si>
  <si>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</si>
  <si>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</si>
  <si>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</si>
  <si>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</si>
  <si>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</si>
  <si>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</si>
  <si>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</si>
  <si>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</si>
  <si>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</si>
  <si>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</si>
  <si>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</si>
  <si>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</si>
  <si>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</si>
  <si>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</si>
  <si>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</si>
  <si>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</si>
  <si>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</si>
  <si>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</si>
  <si>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</si>
  <si>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</si>
  <si>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</si>
  <si>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</si>
  <si>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</si>
  <si>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</si>
  <si>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</si>
  <si>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</si>
  <si>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</si>
  <si>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</si>
  <si>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</si>
  <si>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</si>
  <si>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</si>
  <si>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</si>
  <si>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</si>
  <si>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</si>
  <si>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</si>
  <si>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</si>
  <si>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</si>
  <si>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</si>
  <si>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</si>
  <si>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</si>
  <si>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</si>
  <si>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</si>
  <si>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</si>
  <si>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</si>
  <si>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</si>
  <si>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</si>
  <si>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</si>
  <si>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</si>
  <si>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</si>
  <si>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</si>
  <si>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</si>
  <si>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</si>
  <si>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</si>
  <si>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</si>
  <si>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</si>
  <si>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</si>
  <si>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</si>
  <si>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</si>
  <si>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</si>
  <si>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</si>
  <si>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</si>
  <si>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</si>
  <si>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</si>
  <si>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</si>
  <si>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</si>
  <si>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</si>
  <si>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</si>
  <si>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</si>
  <si>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</si>
  <si>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</si>
  <si>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</si>
  <si>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</si>
  <si>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</si>
  <si>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</si>
  <si>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</si>
  <si>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</si>
  <si>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</si>
  <si>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</si>
  <si>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</si>
  <si>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</si>
  <si>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</si>
  <si>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</si>
  <si>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</si>
  <si>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</si>
  <si>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</si>
  <si>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</si>
  <si>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</si>
  <si>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</si>
  <si>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</si>
  <si>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</si>
  <si>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</si>
  <si>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</si>
  <si>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</si>
  <si>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</si>
  <si>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</si>
  <si>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</si>
  <si>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</si>
  <si>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</si>
  <si>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</si>
  <si>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</si>
  <si>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</si>
  <si>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</si>
  <si>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</si>
  <si>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</si>
  <si>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</si>
  <si>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</si>
  <si>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</si>
  <si>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</si>
  <si>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</si>
  <si>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</si>
  <si>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</si>
  <si>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</si>
  <si>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</si>
  <si>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</si>
  <si>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</si>
  <si>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</si>
  <si>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</si>
  <si>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</si>
  <si>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</si>
  <si>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</si>
  <si>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</si>
  <si>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</si>
  <si>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</si>
  <si>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</si>
  <si>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</si>
  <si>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</si>
  <si>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</si>
  <si>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</si>
  <si>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</si>
  <si>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</si>
  <si>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</si>
  <si>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</si>
  <si>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</si>
  <si>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</si>
  <si>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</si>
  <si>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</si>
  <si>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</si>
  <si>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</si>
  <si>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</si>
  <si>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</si>
  <si>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</si>
  <si>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</si>
  <si>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</si>
  <si>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</si>
  <si>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</si>
  <si>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</si>
  <si>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</si>
  <si>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</si>
  <si>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</si>
  <si>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</si>
  <si>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</si>
  <si>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</si>
  <si>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</si>
  <si>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</si>
  <si>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</si>
  <si>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</si>
  <si>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</si>
  <si>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</si>
  <si>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</si>
  <si>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</si>
  <si>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</si>
  <si>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</si>
  <si>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</si>
  <si>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</si>
  <si>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</si>
  <si>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</si>
  <si>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</si>
  <si>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</si>
  <si>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</si>
  <si>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</si>
  <si>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</si>
  <si>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</si>
  <si>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</si>
  <si>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</si>
  <si>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</si>
  <si>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</si>
  <si>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</si>
  <si>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</si>
  <si>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</si>
  <si>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</si>
  <si>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</si>
  <si>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</si>
  <si>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</si>
  <si>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</si>
  <si>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</si>
  <si>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</si>
  <si>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</si>
  <si>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</si>
  <si>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</si>
  <si>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</si>
  <si>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</si>
  <si>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</si>
  <si>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</si>
  <si>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</si>
  <si>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</si>
  <si>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</si>
  <si>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</si>
  <si>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</si>
  <si>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</si>
  <si>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</si>
  <si>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</si>
  <si>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</si>
  <si>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</si>
  <si>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</si>
  <si>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</si>
  <si>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</si>
  <si>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</si>
  <si>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</si>
  <si>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</si>
  <si>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</si>
  <si>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</si>
  <si>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</si>
  <si>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</si>
  <si>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</si>
  <si>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</si>
  <si>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</si>
  <si>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</si>
  <si>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</si>
  <si>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</si>
  <si>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</si>
  <si>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</si>
  <si>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</si>
  <si>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</si>
  <si>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</si>
  <si>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</si>
  <si>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</si>
  <si>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</si>
  <si>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</si>
  <si>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</si>
  <si>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</si>
  <si>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</si>
  <si>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</si>
  <si>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</si>
  <si>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</si>
  <si>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</si>
  <si>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</si>
  <si>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</si>
  <si>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</si>
  <si>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</si>
  <si>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</si>
  <si>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</si>
  <si>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</si>
  <si>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</si>
  <si>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</si>
  <si>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</si>
  <si>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</si>
  <si>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</si>
  <si>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</si>
  <si>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</si>
  <si>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</si>
  <si>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</si>
  <si>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</si>
  <si>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</si>
  <si>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</si>
  <si>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</si>
  <si>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</si>
  <si>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</si>
  <si>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</si>
  <si>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</si>
  <si>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</si>
  <si>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</si>
  <si>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</si>
  <si>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</si>
  <si>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</si>
  <si>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</si>
  <si>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</si>
  <si>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</si>
  <si>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</si>
  <si>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</si>
  <si>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</si>
  <si>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</si>
  <si>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</si>
  <si>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</si>
  <si>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</si>
  <si>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</si>
  <si>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</si>
  <si>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</si>
  <si>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</si>
  <si>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</si>
  <si>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</si>
  <si>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</si>
  <si>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</si>
  <si>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</si>
  <si>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</si>
  <si>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</si>
  <si>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</si>
  <si>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</si>
  <si>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</si>
  <si>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</si>
  <si>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</si>
  <si>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</si>
  <si>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</si>
  <si>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</si>
  <si>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</si>
  <si>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</si>
  <si>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</si>
  <si>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</si>
  <si>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</si>
  <si>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</si>
  <si>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</si>
  <si>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</si>
  <si>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</si>
  <si>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</si>
  <si>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</si>
  <si>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</si>
  <si>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</si>
  <si>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</si>
  <si>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</si>
  <si>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</si>
  <si>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</si>
  <si>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</si>
  <si>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</si>
  <si>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</si>
  <si>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</si>
  <si>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</si>
  <si>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</si>
  <si>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</si>
  <si>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</si>
  <si>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</si>
  <si>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</si>
  <si>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</si>
  <si>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</si>
  <si>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</si>
  <si>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</si>
  <si>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</si>
  <si>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</si>
  <si>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</si>
  <si>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</si>
  <si>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</si>
  <si>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</si>
  <si>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</si>
  <si>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</si>
  <si>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</si>
  <si>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</si>
  <si>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</si>
  <si>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</si>
  <si>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</si>
  <si>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</si>
  <si>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</si>
  <si>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</si>
  <si>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</si>
  <si>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</si>
  <si>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</si>
  <si>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</si>
  <si>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</si>
  <si>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</si>
  <si>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</si>
  <si>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</si>
  <si>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</si>
  <si>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</si>
  <si>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</si>
  <si>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</si>
  <si>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</si>
  <si>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</si>
  <si>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</si>
  <si>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</si>
  <si>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</si>
  <si>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</si>
  <si>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</si>
  <si>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</si>
  <si>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</si>
  <si>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</si>
  <si>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</si>
  <si>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</si>
  <si>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</si>
  <si>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</si>
  <si>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</si>
  <si>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</si>
  <si>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</si>
  <si>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</si>
  <si>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</si>
  <si>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</si>
  <si>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</si>
  <si>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</si>
  <si>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</si>
  <si>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</si>
  <si>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</si>
  <si>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</si>
  <si>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</si>
  <si>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</si>
  <si>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</si>
  <si>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</si>
  <si>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</si>
  <si>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</si>
  <si>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</si>
  <si>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</si>
  <si>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</si>
  <si>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</si>
  <si>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</si>
  <si>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</si>
  <si>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</si>
  <si>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</si>
  <si>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</si>
  <si>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</si>
  <si>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</si>
  <si>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</si>
  <si>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</si>
  <si>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</si>
  <si>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</si>
  <si>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</si>
  <si>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</si>
  <si>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</si>
  <si>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</si>
  <si>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</si>
  <si>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</si>
  <si>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</si>
  <si>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</si>
  <si>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</si>
  <si>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</si>
  <si>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</si>
  <si>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</si>
  <si>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</si>
  <si>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</si>
  <si>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</si>
  <si>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</si>
  <si>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</si>
  <si>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</si>
  <si>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</si>
  <si>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</si>
  <si>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</si>
  <si>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</si>
  <si>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</si>
  <si>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</si>
  <si>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</si>
  <si>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</si>
  <si>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</si>
  <si>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</si>
  <si>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</si>
  <si>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</si>
  <si>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</si>
  <si>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</si>
  <si>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</si>
  <si>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</si>
  <si>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</si>
  <si>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</si>
  <si>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</si>
  <si>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</si>
  <si>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</si>
  <si>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</si>
  <si>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</si>
  <si>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</si>
  <si>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</si>
  <si>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</si>
  <si>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</si>
  <si>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</si>
  <si>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</si>
  <si>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</si>
  <si>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</si>
  <si>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</si>
  <si>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</si>
  <si>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</si>
  <si>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</si>
  <si>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</si>
  <si>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</si>
  <si>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</si>
  <si>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</si>
  <si>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</si>
  <si>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</si>
  <si>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</si>
  <si>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</si>
  <si>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</si>
  <si>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</si>
  <si>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</si>
  <si>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</si>
  <si>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</si>
  <si>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</si>
  <si>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</si>
  <si>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</si>
  <si>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</si>
  <si>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</si>
  <si>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</si>
  <si>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</si>
  <si>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</si>
  <si>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</si>
  <si>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</si>
  <si>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</si>
  <si>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</si>
  <si>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</si>
  <si>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</si>
  <si>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</si>
  <si>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</si>
  <si>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</si>
  <si>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</si>
  <si>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</si>
  <si>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</si>
  <si>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</si>
  <si>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</si>
  <si>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</si>
  <si>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</si>
  <si>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</si>
  <si>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</si>
  <si>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</si>
  <si>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</si>
  <si>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</si>
  <si>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</si>
  <si>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</si>
  <si>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</si>
  <si>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</si>
  <si>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</si>
  <si>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</si>
  <si>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</si>
  <si>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</si>
  <si>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</si>
  <si>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</si>
  <si>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</si>
  <si>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</si>
  <si>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</si>
  <si>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</si>
  <si>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</si>
  <si>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</si>
  <si>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</si>
  <si>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</si>
  <si>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</si>
  <si>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</si>
  <si>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</si>
  <si>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</si>
  <si>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</si>
  <si>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</si>
  <si>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</si>
  <si>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</si>
  <si>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</si>
  <si>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</si>
  <si>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</si>
  <si>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</si>
  <si>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</si>
  <si>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</si>
  <si>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</si>
  <si>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</si>
  <si>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</si>
  <si>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</si>
  <si>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</si>
  <si>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</si>
  <si>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</si>
  <si>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</si>
  <si>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</si>
  <si>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</si>
  <si>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</si>
  <si>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</si>
  <si>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</si>
  <si>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</si>
  <si>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</si>
  <si>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</si>
  <si>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</si>
  <si>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</si>
  <si>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</si>
  <si>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</si>
  <si>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</si>
  <si>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</si>
  <si>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</si>
  <si>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</si>
  <si>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</si>
  <si>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</si>
  <si>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</si>
  <si>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</si>
  <si>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</si>
  <si>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</si>
  <si>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</si>
  <si>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</si>
  <si>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</si>
  <si>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</si>
  <si>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</si>
  <si>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</si>
  <si>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</si>
  <si>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</si>
  <si>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</si>
  <si>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</si>
  <si>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</si>
  <si>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</si>
  <si>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</si>
  <si>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</si>
  <si>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</si>
  <si>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</si>
  <si>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</si>
  <si>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</si>
  <si>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</si>
  <si>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</si>
  <si>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</si>
  <si>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</si>
  <si>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</si>
  <si>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</si>
  <si>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</si>
  <si>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</si>
  <si>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</si>
  <si>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</si>
  <si>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</si>
  <si>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</si>
  <si>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</si>
  <si>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</si>
  <si>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</si>
  <si>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</si>
  <si>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</si>
  <si>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</si>
  <si>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</si>
  <si>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</si>
  <si>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</si>
  <si>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</si>
  <si>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</si>
  <si>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</si>
  <si>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</si>
  <si>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</si>
  <si>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</si>
  <si>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</si>
  <si>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</si>
  <si>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</si>
  <si>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</si>
  <si>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</si>
  <si>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</si>
  <si>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</si>
  <si>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</si>
  <si>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</si>
  <si>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</si>
  <si>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</si>
  <si>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</si>
  <si>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</si>
  <si>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</si>
  <si>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</si>
  <si>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</si>
  <si>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</si>
  <si>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</si>
  <si>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</si>
  <si>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</si>
  <si>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</si>
  <si>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</si>
  <si>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</si>
  <si>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</si>
  <si>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</si>
  <si>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</si>
  <si>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</si>
  <si>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</si>
  <si>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</si>
  <si>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</si>
  <si>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</si>
  <si>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</si>
  <si>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</si>
  <si>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</si>
  <si>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</si>
  <si>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</si>
  <si>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</si>
  <si>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</si>
  <si>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</si>
  <si>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</si>
  <si>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</si>
  <si>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</si>
  <si>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</si>
  <si>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</si>
  <si>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</si>
  <si>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</si>
  <si>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</si>
  <si>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</si>
  <si>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</si>
  <si>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</si>
  <si>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</si>
  <si>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</si>
  <si>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</si>
  <si>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</si>
  <si>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</si>
  <si>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</si>
  <si>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</si>
  <si>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</si>
  <si>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</si>
  <si>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</si>
  <si>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</si>
  <si>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</si>
  <si>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</si>
  <si>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</si>
  <si>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</si>
  <si>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</si>
  <si>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</si>
  <si>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</si>
  <si>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</si>
  <si>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</si>
  <si>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</si>
  <si>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</si>
  <si>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</si>
  <si>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</si>
  <si>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</si>
  <si>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</si>
  <si>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</si>
  <si>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</si>
  <si>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</si>
  <si>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</si>
  <si>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</si>
  <si>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</si>
  <si>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</si>
  <si>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</si>
  <si>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</si>
  <si>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</si>
  <si>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</si>
  <si>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</si>
  <si>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</si>
  <si>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</si>
  <si>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</si>
  <si>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</si>
  <si>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</si>
  <si>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</si>
  <si>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</si>
  <si>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</si>
  <si>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</si>
  <si>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</si>
  <si>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</si>
  <si>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</si>
  <si>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</si>
  <si>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</si>
  <si>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</si>
  <si>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</si>
  <si>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</si>
  <si>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</si>
  <si>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</si>
  <si>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</si>
  <si>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</si>
  <si>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</si>
  <si>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</si>
  <si>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</si>
  <si>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</si>
  <si>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</si>
  <si>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</si>
  <si>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</si>
  <si>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</si>
  <si>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</si>
  <si>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</si>
  <si>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</si>
  <si>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</si>
  <si>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</si>
  <si>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</si>
  <si>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</si>
  <si>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</si>
  <si>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</si>
  <si>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</si>
  <si>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</si>
  <si>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</si>
  <si>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</si>
  <si>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</si>
  <si>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</si>
  <si>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</si>
  <si>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</si>
  <si>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</si>
  <si>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</si>
  <si>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</si>
  <si>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</si>
  <si>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</si>
  <si>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</si>
  <si>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</si>
  <si>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</si>
  <si>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</si>
  <si>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</si>
  <si>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</si>
  <si>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</si>
  <si>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</si>
  <si>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</si>
  <si>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</si>
  <si>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</si>
  <si>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</si>
  <si>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</si>
  <si>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</si>
  <si>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</si>
  <si>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</si>
  <si>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</si>
  <si>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</si>
  <si>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</si>
  <si>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</si>
  <si>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</si>
  <si>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</si>
  <si>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</si>
  <si>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</si>
  <si>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</si>
  <si>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</si>
  <si>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</si>
  <si>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</si>
  <si>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</si>
  <si>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</si>
  <si>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</si>
  <si>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</si>
  <si>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</si>
  <si>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</si>
  <si>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</si>
  <si>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</si>
  <si>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</si>
  <si>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</si>
  <si>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</si>
  <si>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</si>
  <si>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</si>
  <si>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</si>
  <si>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</si>
  <si>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</si>
  <si>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</si>
  <si>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</si>
  <si>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</si>
  <si>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</si>
  <si>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</si>
  <si>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</si>
  <si>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</si>
  <si>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</si>
  <si>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</si>
  <si>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</si>
  <si>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</si>
  <si>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</si>
  <si>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</si>
  <si>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</si>
  <si>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</si>
  <si>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</si>
  <si>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</si>
  <si>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</si>
  <si>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</si>
  <si>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</si>
  <si>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</si>
  <si>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</si>
  <si>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</si>
  <si>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</si>
  <si>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</si>
  <si>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</si>
  <si>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</si>
  <si>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</si>
  <si>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</si>
  <si>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</si>
  <si>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</si>
  <si>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</si>
  <si>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</si>
  <si>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</si>
  <si>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</si>
  <si>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</si>
  <si>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</si>
  <si>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</si>
  <si>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</si>
  <si>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</si>
  <si>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</si>
  <si>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</si>
  <si>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</si>
  <si>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</si>
  <si>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</si>
  <si>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</si>
  <si>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</si>
  <si>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</si>
  <si>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</si>
  <si>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</si>
  <si>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</si>
  <si>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</si>
  <si>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</si>
  <si>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</si>
  <si>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</si>
  <si>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</si>
  <si>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</si>
  <si>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</si>
  <si>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</si>
  <si>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</si>
  <si>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</si>
  <si>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</si>
  <si>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</si>
  <si>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</si>
  <si>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</si>
  <si>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</si>
  <si>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</si>
  <si>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</si>
  <si>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</si>
  <si>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</si>
  <si>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</si>
  <si>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</si>
  <si>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</si>
  <si>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</si>
  <si>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</si>
  <si>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</si>
  <si>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</si>
  <si>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</si>
  <si>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</si>
  <si>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</si>
  <si>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</si>
  <si>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</si>
  <si>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</si>
  <si>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</si>
  <si>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</si>
  <si>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</si>
  <si>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</si>
  <si>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</si>
  <si>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</si>
  <si>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</si>
  <si>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</si>
  <si>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</si>
  <si>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</si>
  <si>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</si>
  <si>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</si>
  <si>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</si>
  <si>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</si>
  <si>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</si>
  <si>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</si>
  <si>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</si>
  <si>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</si>
  <si>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</si>
  <si>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</si>
  <si>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</si>
  <si>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</si>
  <si>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</si>
  <si>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</si>
  <si>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</si>
  <si>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</si>
  <si>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</si>
  <si>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</si>
  <si>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</si>
  <si>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</si>
  <si>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</si>
  <si>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</si>
  <si>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</si>
  <si>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</si>
  <si>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</si>
  <si>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</si>
  <si>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</si>
  <si>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</si>
  <si>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</si>
  <si>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</si>
  <si>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</si>
  <si>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</si>
  <si>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</si>
  <si>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</si>
  <si>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</si>
  <si>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</si>
  <si>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</si>
  <si>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</si>
  <si>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</si>
  <si>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</si>
  <si>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</si>
  <si>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</si>
  <si>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</si>
  <si>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</si>
  <si>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</si>
  <si>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</si>
  <si>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</si>
  <si>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</si>
  <si>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</si>
  <si>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</si>
  <si>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</si>
  <si>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</si>
  <si>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</si>
  <si>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</si>
  <si>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</si>
  <si>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</si>
  <si>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</si>
  <si>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</si>
  <si>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</si>
  <si>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</si>
  <si>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</si>
  <si>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</si>
  <si>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</si>
  <si>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</si>
  <si>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</si>
  <si>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</si>
  <si>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</si>
  <si>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</si>
  <si>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</si>
  <si>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</si>
  <si>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</si>
  <si>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</si>
  <si>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</si>
  <si>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</si>
  <si>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</si>
  <si>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</si>
  <si>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</si>
  <si>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</si>
  <si>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</si>
  <si>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</si>
  <si>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</si>
  <si>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</si>
  <si>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</si>
  <si>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</si>
  <si>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</si>
  <si>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</si>
  <si>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</si>
  <si>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</si>
  <si>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</si>
  <si>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</si>
  <si>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</si>
  <si>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</si>
  <si>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</si>
  <si>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</si>
  <si>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</si>
  <si>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</si>
  <si>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</si>
  <si>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</si>
  <si>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</si>
  <si>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</si>
  <si>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</si>
  <si>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</si>
  <si>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</si>
  <si>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</si>
  <si>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</si>
  <si>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</si>
  <si>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</si>
  <si>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</si>
  <si>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</si>
  <si>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</si>
  <si>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</si>
  <si>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</si>
  <si>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</si>
  <si>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</si>
  <si>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</si>
  <si>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</si>
  <si>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</si>
  <si>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</si>
  <si>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</si>
  <si>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</si>
  <si>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</si>
  <si>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</si>
  <si>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</si>
  <si>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</si>
  <si>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</si>
  <si>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</si>
  <si>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</si>
  <si>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</si>
  <si>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</si>
  <si>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</si>
  <si>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</si>
  <si>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</si>
  <si>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</si>
  <si>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</si>
  <si>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</si>
  <si>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</si>
  <si>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</si>
  <si>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</si>
  <si>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</si>
  <si>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</si>
  <si>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</si>
  <si>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</si>
  <si>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</si>
  <si>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</si>
  <si>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</si>
  <si>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</si>
  <si>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</si>
  <si>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</si>
  <si>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</si>
  <si>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</si>
  <si>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</si>
  <si>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</si>
  <si>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</si>
  <si>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</si>
  <si>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</si>
  <si>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</si>
  <si>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</si>
  <si>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</si>
  <si>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</si>
  <si>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</si>
  <si>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</si>
  <si>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</si>
  <si>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Physocarpus opulifolius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</si>
  <si>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</si>
  <si>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</si>
  <si>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</si>
  <si>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</si>
  <si>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</si>
  <si>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</si>
  <si>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</si>
  <si>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</si>
  <si>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</si>
  <si>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</si>
  <si>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</si>
  <si>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</si>
  <si>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</si>
  <si>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</si>
  <si>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</si>
  <si>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</si>
  <si>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</si>
  <si>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</si>
  <si>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</si>
  <si>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</si>
  <si>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</si>
  <si>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</si>
  <si>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</si>
  <si>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</si>
  <si>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</si>
  <si>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</si>
  <si>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</si>
  <si>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</si>
  <si>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</si>
  <si>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</si>
  <si>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</si>
  <si>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</si>
  <si>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</si>
  <si>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</si>
  <si>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</si>
  <si>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</si>
  <si>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</si>
  <si>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</si>
  <si>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</si>
  <si>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</si>
  <si>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</si>
  <si>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</si>
  <si>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</si>
  <si>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</si>
  <si>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</si>
  <si>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</si>
  <si>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</si>
  <si>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</si>
  <si>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</si>
  <si>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</si>
  <si>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</si>
  <si>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</si>
  <si>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</si>
  <si>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</si>
  <si>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</si>
  <si>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</si>
  <si>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</si>
  <si>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</si>
  <si>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</si>
  <si>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</si>
  <si>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</si>
  <si>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</si>
  <si>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</si>
  <si>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</si>
  <si>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</si>
  <si>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</si>
  <si>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</si>
  <si>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</si>
  <si>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</si>
  <si>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</si>
  <si>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</si>
  <si>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Pinus taeda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</si>
  <si>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</si>
  <si>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</si>
  <si>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</si>
  <si>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</si>
  <si>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</si>
  <si>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</si>
  <si>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</si>
  <si>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</si>
  <si>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</si>
  <si>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</si>
  <si>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</si>
  <si>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</si>
  <si>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</si>
  <si>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</si>
  <si>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</si>
  <si>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</si>
  <si>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</si>
  <si>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</si>
  <si>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</si>
  <si>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</si>
  <si>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</si>
  <si>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</si>
  <si>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</si>
  <si>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</si>
  <si>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</si>
  <si>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</si>
  <si>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</si>
  <si>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</si>
  <si>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</si>
  <si>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</si>
  <si>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</si>
  <si>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</si>
  <si>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</si>
  <si>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</si>
  <si>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</si>
  <si>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</si>
  <si>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</si>
  <si>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</si>
  <si>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</si>
  <si>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</si>
  <si>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</si>
  <si>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</si>
  <si>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</si>
  <si>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</si>
  <si>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</si>
  <si>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</si>
  <si>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</si>
  <si>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</si>
  <si>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</si>
  <si>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</si>
  <si>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</si>
  <si>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</si>
  <si>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</si>
  <si>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</si>
  <si>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</si>
  <si>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</si>
  <si>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</si>
  <si>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</si>
  <si>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</si>
  <si>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</si>
  <si>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</si>
  <si>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</si>
  <si>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</si>
  <si>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</si>
  <si>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</si>
  <si>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</si>
  <si>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</si>
  <si>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</si>
  <si>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</si>
  <si>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</si>
  <si>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</si>
  <si>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</si>
  <si>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</si>
  <si>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</si>
  <si>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</si>
  <si>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</si>
  <si>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</si>
  <si>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</si>
  <si>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</si>
  <si>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</si>
  <si>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</si>
  <si>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</si>
  <si>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</si>
  <si>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</si>
  <si>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</si>
  <si>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</si>
  <si>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</si>
  <si>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</si>
  <si>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</si>
  <si>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</si>
  <si>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</si>
  <si>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</si>
  <si>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</si>
  <si>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</si>
  <si>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</si>
  <si>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</si>
  <si>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</si>
  <si>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</si>
  <si>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</si>
  <si>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</si>
  <si>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</si>
  <si>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</si>
  <si>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</si>
  <si>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</si>
  <si>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</si>
  <si>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</si>
  <si>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</si>
  <si>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</si>
  <si>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</si>
  <si>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</si>
  <si>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</si>
  <si>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</si>
  <si>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</si>
  <si>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</si>
  <si>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</si>
  <si>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</si>
  <si>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</si>
  <si>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</si>
  <si>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</si>
  <si>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</si>
  <si>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</si>
  <si>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</si>
  <si>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</si>
  <si>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</si>
  <si>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</si>
  <si>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</si>
  <si>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</si>
  <si>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</si>
  <si>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</si>
  <si>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</si>
  <si>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</si>
  <si>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</si>
  <si>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</si>
  <si>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</si>
  <si>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</si>
  <si>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</si>
  <si>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</si>
  <si>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</si>
  <si>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</si>
  <si>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</si>
  <si>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</si>
  <si>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</si>
  <si>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</si>
  <si>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</si>
  <si>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</si>
  <si>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</si>
  <si>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</si>
  <si>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</si>
  <si>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</si>
  <si>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</si>
  <si>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</si>
  <si>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</si>
  <si>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</si>
  <si>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</si>
  <si>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</si>
  <si>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</si>
  <si>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</si>
  <si>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</si>
  <si>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</si>
  <si>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</si>
  <si>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</si>
  <si>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</si>
  <si>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</si>
  <si>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</si>
  <si>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</si>
  <si>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</si>
  <si>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</si>
  <si>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</si>
  <si>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</si>
  <si>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</si>
  <si>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</si>
  <si>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</si>
  <si>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</si>
  <si>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</si>
  <si>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</si>
  <si>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</si>
  <si>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</si>
  <si>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</si>
  <si>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</si>
  <si>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</si>
  <si>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</si>
  <si>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</si>
  <si>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</si>
  <si>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</si>
  <si>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</si>
  <si>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</si>
  <si>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</si>
  <si>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</si>
  <si>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</si>
  <si>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</si>
  <si>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</si>
  <si>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</si>
  <si>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</si>
  <si>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</si>
  <si>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</si>
  <si>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</si>
  <si>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</si>
  <si>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</si>
  <si>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</si>
  <si>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</si>
  <si>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</si>
  <si>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</si>
  <si>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</si>
  <si>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</si>
  <si>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</si>
  <si>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</si>
  <si>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</si>
  <si>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</si>
  <si>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</si>
  <si>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</si>
  <si>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</si>
  <si>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</si>
  <si>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</si>
  <si>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</si>
  <si>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</si>
  <si>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</si>
  <si>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</si>
  <si>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</si>
  <si>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</si>
  <si>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</si>
  <si>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</si>
  <si>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</si>
  <si>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</si>
  <si>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</si>
  <si>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</si>
  <si>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</si>
  <si>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</si>
  <si>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</si>
  <si>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</si>
  <si>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</si>
  <si>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</si>
  <si>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</si>
  <si>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</si>
  <si>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</si>
  <si>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</si>
  <si>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</si>
  <si>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</si>
  <si>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</si>
  <si>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</si>
  <si>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</si>
  <si>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</si>
  <si>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</si>
  <si>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</si>
  <si>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</si>
  <si>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</si>
  <si>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</si>
  <si>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</si>
  <si>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</si>
  <si>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</si>
  <si>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</si>
  <si>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</si>
  <si>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</si>
  <si>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</si>
  <si>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</si>
  <si>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</si>
  <si>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</si>
  <si>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</si>
  <si>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</si>
  <si>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</si>
  <si>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</si>
  <si>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</si>
  <si>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</si>
  <si>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</si>
  <si>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</si>
  <si>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</si>
  <si>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</si>
  <si>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</si>
  <si>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</si>
  <si>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</si>
  <si>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</si>
  <si>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</si>
  <si>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</si>
  <si>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</si>
  <si>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</si>
  <si>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</si>
  <si>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</si>
  <si>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</si>
  <si>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</si>
  <si>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</si>
  <si>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</si>
  <si>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</si>
  <si>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</si>
  <si>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</si>
  <si>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</si>
  <si>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</si>
  <si>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</si>
  <si>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</si>
  <si>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</si>
  <si>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</si>
  <si>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</si>
  <si>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</si>
  <si>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</si>
  <si>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</si>
  <si>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</si>
  <si>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</si>
  <si>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</si>
  <si>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</si>
  <si>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</si>
  <si>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</si>
  <si>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</si>
  <si>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</si>
  <si>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</si>
  <si>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</si>
  <si>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</si>
  <si>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</si>
  <si>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</si>
  <si>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</si>
  <si>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</si>
  <si>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</si>
  <si>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</si>
  <si>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</si>
  <si>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</si>
  <si>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</si>
  <si>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</si>
  <si>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</si>
  <si>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</si>
  <si>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</si>
  <si>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</si>
  <si>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</si>
  <si>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</si>
  <si>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</si>
  <si>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</si>
  <si>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</si>
  <si>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</si>
  <si>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</si>
  <si>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</si>
  <si>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</si>
  <si>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</si>
  <si>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</si>
  <si>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</si>
  <si>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</si>
  <si>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</si>
  <si>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</si>
  <si>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</si>
  <si>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</si>
  <si>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</si>
  <si>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</si>
  <si>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</si>
  <si>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</si>
  <si>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</si>
  <si>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</si>
  <si>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</si>
  <si>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</si>
  <si>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</si>
  <si>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</si>
  <si>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</si>
  <si>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</si>
  <si>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</si>
  <si>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</si>
  <si>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</si>
  <si>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</si>
  <si>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</si>
  <si>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</si>
  <si>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</si>
  <si>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</si>
  <si>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</si>
  <si>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</si>
  <si>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</si>
  <si>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</si>
  <si>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</si>
  <si>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</si>
  <si>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</si>
  <si>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</si>
  <si>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</si>
  <si>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</si>
  <si>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</si>
  <si>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</si>
  <si>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</si>
  <si>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</si>
  <si>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</si>
  <si>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</si>
  <si>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</si>
  <si>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</si>
  <si>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</si>
  <si>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</si>
  <si>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</si>
  <si>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</si>
  <si>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</si>
  <si>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</si>
  <si>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</si>
  <si>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</si>
  <si>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</si>
  <si>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</si>
  <si>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</si>
  <si>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</si>
  <si>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</si>
  <si>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</si>
  <si>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</si>
  <si>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</si>
  <si>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</si>
  <si>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</si>
  <si>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</si>
  <si>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</si>
  <si>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</si>
  <si>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</si>
  <si>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</si>
  <si>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</si>
  <si>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</si>
  <si>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</si>
  <si>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</si>
  <si>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</si>
  <si>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</si>
  <si>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</si>
  <si>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</si>
  <si>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</si>
  <si>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</si>
  <si>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</si>
  <si>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</si>
  <si>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</si>
  <si>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</si>
  <si>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</si>
  <si>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</si>
  <si>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</si>
  <si>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</si>
  <si>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</si>
  <si>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</si>
  <si>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</si>
  <si>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</si>
  <si>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</si>
  <si>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</si>
  <si>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</si>
  <si>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</si>
  <si>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</si>
  <si>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</si>
  <si>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</si>
  <si>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</si>
  <si>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</si>
  <si>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</si>
  <si>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</si>
  <si>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</si>
  <si>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</si>
  <si>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</si>
  <si>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</si>
  <si>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</si>
  <si>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</si>
  <si>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</si>
  <si>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</si>
  <si>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</si>
  <si>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</si>
  <si>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</si>
  <si>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</si>
  <si>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</si>
  <si>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</si>
  <si>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</si>
  <si>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</si>
  <si>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</si>
  <si>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</si>
  <si>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</si>
  <si>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</si>
  <si>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</si>
  <si>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</si>
  <si>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</si>
  <si>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</si>
  <si>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</si>
  <si>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</si>
  <si>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</si>
  <si>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</si>
  <si>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</si>
  <si>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</si>
  <si>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</si>
  <si>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</si>
  <si>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</si>
  <si>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</si>
  <si>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</si>
  <si>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</si>
  <si>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</si>
  <si>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</si>
  <si>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</si>
  <si>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</si>
  <si>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</si>
  <si>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</si>
  <si>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</si>
  <si>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</si>
  <si>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</si>
  <si>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</si>
  <si>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</si>
  <si>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</si>
  <si>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</si>
  <si>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</si>
  <si>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</si>
  <si>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</si>
  <si>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</si>
  <si>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</si>
  <si>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</si>
  <si>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</si>
  <si>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</si>
  <si>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</si>
  <si>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</si>
  <si>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</si>
  <si>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</si>
  <si>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</si>
  <si>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</si>
  <si>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</si>
  <si>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</si>
  <si>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</si>
  <si>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</si>
  <si>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</si>
  <si>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</si>
  <si>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</si>
  <si>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</si>
  <si>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</si>
  <si>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</si>
  <si>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</si>
  <si>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</si>
  <si>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</si>
  <si>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</si>
  <si>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</si>
  <si>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</si>
  <si>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</si>
  <si>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</si>
  <si>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</si>
  <si>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</si>
  <si>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</si>
  <si>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</si>
  <si>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</si>
  <si>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</si>
  <si>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</si>
  <si>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</si>
  <si>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</si>
  <si>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</si>
  <si>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</si>
  <si>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</si>
  <si>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</si>
  <si>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</si>
  <si>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</si>
  <si>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</si>
  <si>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</si>
  <si>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</si>
  <si>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</si>
  <si>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</si>
  <si>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</si>
  <si>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</si>
  <si>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</si>
  <si>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</si>
  <si>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</si>
  <si>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</si>
  <si>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</si>
  <si>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</si>
  <si>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</si>
  <si>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</si>
  <si>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</si>
  <si>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</si>
  <si>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</si>
  <si>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</si>
  <si>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</si>
  <si>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</si>
  <si>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</si>
  <si>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</si>
  <si>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</si>
  <si>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</si>
  <si>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</si>
  <si>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</si>
  <si>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</si>
  <si>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</si>
  <si>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</si>
  <si>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</si>
  <si>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</si>
  <si>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</si>
  <si>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</si>
  <si>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</si>
  <si>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</si>
  <si>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</si>
  <si>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</si>
  <si>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</si>
  <si>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</si>
  <si>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</si>
  <si>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</si>
  <si>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</si>
  <si>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</si>
  <si>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</si>
  <si>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</si>
  <si>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</si>
  <si>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</si>
  <si>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</si>
  <si>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</si>
  <si>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</si>
  <si>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</si>
  <si>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</si>
  <si>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</si>
  <si>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</si>
  <si>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</si>
  <si>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</si>
  <si>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</si>
  <si>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</si>
  <si>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</si>
  <si>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</si>
  <si>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</si>
  <si>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</si>
  <si>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</si>
  <si>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</si>
  <si>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</si>
  <si>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</si>
  <si>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</si>
  <si>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</si>
  <si>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Prunus serotina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</si>
  <si>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</si>
  <si>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</si>
  <si>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</si>
  <si>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</si>
  <si>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</si>
  <si>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</si>
  <si>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</si>
  <si>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</si>
  <si>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</si>
  <si>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</si>
  <si>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</si>
  <si>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</si>
  <si>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</si>
  <si>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</si>
  <si>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</si>
  <si>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</si>
  <si>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</si>
  <si>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</si>
  <si>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</si>
  <si>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</si>
  <si>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</si>
  <si>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</si>
  <si>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</si>
  <si>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</si>
  <si>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</si>
  <si>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</si>
  <si>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</si>
  <si>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</si>
  <si>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</si>
  <si>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</si>
  <si>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</si>
  <si>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</si>
  <si>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</si>
  <si>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</si>
  <si>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</si>
  <si>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</si>
  <si>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</si>
  <si>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</si>
  <si>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</si>
  <si>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</si>
  <si>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</si>
  <si>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</si>
  <si>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</si>
  <si>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</si>
  <si>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</si>
  <si>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</si>
  <si>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</si>
  <si>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</si>
  <si>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</si>
  <si>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</si>
  <si>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</si>
  <si>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</si>
  <si>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</si>
  <si>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</si>
  <si>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</si>
  <si>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</si>
  <si>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</si>
  <si>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</si>
  <si>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</si>
  <si>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</si>
  <si>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</si>
  <si>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</si>
  <si>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</si>
  <si>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</si>
  <si>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</si>
  <si>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</si>
  <si>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</si>
  <si>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</si>
  <si>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</si>
  <si>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</si>
  <si>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</si>
  <si>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</si>
  <si>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</si>
  <si>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</si>
  <si>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</si>
  <si>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</si>
  <si>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</si>
  <si>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</si>
  <si>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</si>
  <si>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</si>
  <si>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</si>
  <si>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</si>
  <si>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</si>
  <si>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</si>
  <si>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</si>
  <si>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</si>
  <si>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</si>
  <si>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</si>
  <si>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</si>
  <si>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</si>
  <si>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</si>
  <si>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</si>
  <si>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</si>
  <si>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</si>
  <si>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</si>
  <si>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</si>
  <si>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</si>
  <si>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</si>
  <si>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</si>
  <si>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</si>
  <si>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</si>
  <si>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</si>
  <si>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</si>
  <si>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</si>
  <si>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</si>
  <si>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</si>
  <si>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</si>
  <si>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</si>
  <si>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</si>
  <si>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</si>
  <si>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</si>
  <si>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</si>
  <si>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</si>
  <si>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</si>
  <si>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</si>
  <si>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</si>
  <si>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</si>
  <si>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</si>
  <si>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</si>
  <si>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</si>
  <si>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</si>
  <si>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</si>
  <si>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</si>
  <si>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</si>
  <si>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</si>
  <si>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</si>
  <si>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White Oak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</si>
  <si>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</si>
  <si>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</si>
  <si>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</si>
  <si>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</si>
  <si>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</si>
  <si>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</si>
  <si>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</si>
  <si>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</si>
  <si>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</si>
  <si>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</si>
  <si>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</si>
  <si>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</si>
  <si>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</si>
  <si>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</si>
  <si>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</si>
  <si>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</si>
  <si>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</si>
  <si>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</si>
  <si>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</si>
  <si>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</si>
  <si>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</si>
  <si>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</si>
  <si>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</si>
  <si>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</si>
  <si>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</si>
  <si>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</si>
  <si>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</si>
  <si>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</si>
  <si>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</si>
  <si>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</si>
  <si>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</si>
  <si>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</si>
  <si>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</si>
  <si>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</si>
  <si>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</si>
  <si>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</si>
  <si>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</si>
  <si>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</si>
  <si>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</si>
  <si>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</si>
  <si>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</si>
  <si>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</si>
  <si>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</si>
  <si>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</si>
  <si>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</si>
  <si>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</si>
  <si>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</si>
  <si>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</si>
  <si>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</si>
  <si>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</si>
  <si>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</si>
  <si>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</si>
  <si>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</si>
  <si>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</si>
  <si>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</si>
  <si>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</si>
  <si>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Northern Red Oak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</si>
  <si>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</si>
  <si>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</si>
  <si>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</si>
  <si>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</si>
  <si>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</si>
  <si>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</si>
  <si>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</si>
  <si>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</si>
  <si>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</si>
  <si>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</si>
  <si>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</si>
  <si>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</si>
  <si>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</si>
  <si>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</si>
  <si>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</si>
  <si>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</si>
  <si>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</si>
  <si>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</si>
  <si>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</si>
  <si>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</si>
  <si>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</si>
  <si>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</si>
  <si>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</si>
  <si>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</si>
  <si>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</si>
  <si>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</si>
  <si>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</si>
  <si>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</si>
  <si>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</si>
  <si>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</si>
  <si>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</si>
  <si>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</si>
  <si>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</si>
  <si>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</si>
  <si>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</si>
  <si>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</si>
  <si>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</si>
  <si>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</si>
  <si>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</si>
  <si>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</si>
  <si>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</si>
  <si>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</si>
  <si>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</si>
  <si>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</si>
  <si>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</si>
  <si>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</si>
  <si>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</si>
  <si>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</si>
  <si>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</si>
  <si>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</si>
  <si>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</si>
  <si>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</si>
  <si>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</si>
  <si>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</si>
  <si>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</si>
  <si>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</si>
  <si>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</si>
  <si>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</si>
  <si>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</si>
  <si>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</si>
  <si>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</si>
  <si>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</si>
  <si>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</si>
  <si>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</si>
  <si>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</si>
  <si>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</si>
  <si>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</si>
  <si>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</si>
  <si>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</si>
  <si>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</si>
  <si>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</si>
  <si>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</si>
  <si>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</si>
  <si>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</si>
  <si>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</si>
  <si>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</si>
  <si>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</si>
  <si>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</si>
  <si>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</si>
  <si>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</si>
  <si>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</si>
  <si>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</si>
  <si>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</si>
  <si>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</si>
  <si>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</si>
  <si>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</si>
  <si>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</si>
  <si>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</si>
  <si>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</si>
  <si>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</si>
  <si>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</si>
  <si>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</si>
  <si>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</si>
  <si>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</si>
  <si>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</si>
  <si>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</si>
  <si>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</si>
  <si>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</si>
  <si>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</si>
  <si>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</si>
  <si>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</si>
  <si>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</si>
  <si>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</si>
  <si>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</si>
  <si>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</si>
  <si>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</si>
  <si>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</si>
  <si>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</si>
  <si>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</si>
  <si>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</si>
  <si>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</si>
  <si>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</si>
  <si>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</si>
  <si>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</si>
  <si>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</si>
  <si>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</si>
  <si>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</si>
  <si>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</si>
  <si>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</si>
  <si>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</si>
  <si>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</si>
  <si>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</si>
  <si>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</si>
  <si>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</si>
  <si>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</si>
  <si>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</si>
  <si>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</si>
  <si>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</si>
  <si>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</si>
  <si>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</si>
  <si>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</si>
  <si>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</si>
  <si>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</si>
  <si>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</si>
  <si>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</si>
  <si>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</si>
  <si>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</si>
  <si>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</si>
  <si>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</si>
  <si>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</si>
  <si>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</si>
  <si>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</si>
  <si>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</si>
  <si>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</si>
  <si>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</si>
  <si>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</si>
  <si>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</si>
  <si>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</si>
  <si>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</si>
  <si>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</si>
  <si>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</si>
  <si>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</si>
  <si>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</si>
  <si>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</si>
  <si>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</si>
  <si>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</si>
  <si>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</si>
  <si>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</si>
  <si>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</si>
  <si>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</si>
  <si>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</si>
  <si>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</si>
  <si>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</si>
  <si>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</si>
  <si>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</si>
  <si>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</si>
  <si>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</si>
  <si>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</si>
  <si>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</si>
  <si>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</si>
  <si>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</si>
  <si>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</si>
  <si>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</si>
  <si>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</si>
  <si>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</si>
  <si>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Rhus glabra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</si>
  <si>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</si>
  <si>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</si>
  <si>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</si>
  <si>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</si>
  <si>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</si>
  <si>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</si>
  <si>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</si>
  <si>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</si>
  <si>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</si>
  <si>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</si>
  <si>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</si>
  <si>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</si>
  <si>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</si>
  <si>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</si>
  <si>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</si>
  <si>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</si>
  <si>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</si>
  <si>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</si>
  <si>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</si>
  <si>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</si>
  <si>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</si>
  <si>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</si>
  <si>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</si>
  <si>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</si>
  <si>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</si>
  <si>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</si>
  <si>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</si>
  <si>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</si>
  <si>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</si>
  <si>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</si>
  <si>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</si>
  <si>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</si>
  <si>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</si>
  <si>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</si>
  <si>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</si>
  <si>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</si>
  <si>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</si>
  <si>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</si>
  <si>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</si>
  <si>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</si>
  <si>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</si>
  <si>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</si>
  <si>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</si>
  <si>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</si>
  <si>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</si>
  <si>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</si>
  <si>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</si>
  <si>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</si>
  <si>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</si>
  <si>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</si>
  <si>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</si>
  <si>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</si>
  <si>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</si>
  <si>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</si>
  <si>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</si>
  <si>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</si>
  <si>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</si>
  <si>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</si>
  <si>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</si>
  <si>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</si>
  <si>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</si>
  <si>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</si>
  <si>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</si>
  <si>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</si>
  <si>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</si>
  <si>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</si>
  <si>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</si>
  <si>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</si>
  <si>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</si>
  <si>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</si>
  <si>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</si>
  <si>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</si>
  <si>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</si>
  <si>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</si>
  <si>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</si>
  <si>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</si>
  <si>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</si>
  <si>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</si>
  <si>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</si>
  <si>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</si>
  <si>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</si>
  <si>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</si>
  <si>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</si>
  <si>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</si>
  <si>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</si>
  <si>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</si>
  <si>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</si>
  <si>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</si>
  <si>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</si>
  <si>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</si>
  <si>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</si>
  <si>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</si>
  <si>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</si>
  <si>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</si>
  <si>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</si>
  <si>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</si>
  <si>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</si>
  <si>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</si>
  <si>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</si>
  <si>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</si>
  <si>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</si>
  <si>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</si>
  <si>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</si>
  <si>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</si>
  <si>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</si>
  <si>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</si>
  <si>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</si>
  <si>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</si>
  <si>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</si>
  <si>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</si>
  <si>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</si>
  <si>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</si>
  <si>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</si>
  <si>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</si>
  <si>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</si>
  <si>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</si>
  <si>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</si>
  <si>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</si>
  <si>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Robinia pseudoacacia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</si>
  <si>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</si>
  <si>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</si>
  <si>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</si>
  <si>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</si>
  <si>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</si>
  <si>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</si>
  <si>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</si>
  <si>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</si>
  <si>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</si>
  <si>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</si>
  <si>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</si>
  <si>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</si>
  <si>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</si>
  <si>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</si>
  <si>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</si>
  <si>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</si>
  <si>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</si>
  <si>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</si>
  <si>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</si>
  <si>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</si>
  <si>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</si>
  <si>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</si>
  <si>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</si>
  <si>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</si>
  <si>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</si>
  <si>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</si>
  <si>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</si>
  <si>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</si>
  <si>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</si>
  <si>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</si>
  <si>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</si>
  <si>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</si>
  <si>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</si>
  <si>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</si>
  <si>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Rosa multiflora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</si>
  <si>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</si>
  <si>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</si>
  <si>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</si>
  <si>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</si>
  <si>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</si>
  <si>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</si>
  <si>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</si>
  <si>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</si>
  <si>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</si>
  <si>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</si>
  <si>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</si>
  <si>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</si>
  <si>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</si>
  <si>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</si>
  <si>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</si>
  <si>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</si>
  <si>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</si>
  <si>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</si>
  <si>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</si>
  <si>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</si>
  <si>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</si>
  <si>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</si>
  <si>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</si>
  <si>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</si>
  <si>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</si>
  <si>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</si>
  <si>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</si>
  <si>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</si>
  <si>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</si>
  <si>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</si>
  <si>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</si>
  <si>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</si>
  <si>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</si>
  <si>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</si>
  <si>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</si>
  <si>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</si>
  <si>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</si>
  <si>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</si>
  <si>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</si>
  <si>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</si>
  <si>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</si>
  <si>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</si>
  <si>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</si>
  <si>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</si>
  <si>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</si>
  <si>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</si>
  <si>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</si>
  <si>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</si>
  <si>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</si>
  <si>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</si>
  <si>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</si>
  <si>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</si>
  <si>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</si>
  <si>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</si>
  <si>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</si>
  <si>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</si>
  <si>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</si>
  <si>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</si>
  <si>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</si>
  <si>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</si>
  <si>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</si>
  <si>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</si>
  <si>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</si>
  <si>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</si>
  <si>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</si>
  <si>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</si>
  <si>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</si>
  <si>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</si>
  <si>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</si>
  <si>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</si>
  <si>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</si>
  <si>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</si>
  <si>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</si>
  <si>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</si>
  <si>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</si>
  <si>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</si>
  <si>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</si>
  <si>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</si>
  <si>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</si>
  <si>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</si>
  <si>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</si>
  <si>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</si>
  <si>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</si>
  <si>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</si>
  <si>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</si>
  <si>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</si>
  <si>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</si>
  <si>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</si>
  <si>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</si>
  <si>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</si>
  <si>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</si>
  <si>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</si>
  <si>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</si>
  <si>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</si>
  <si>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</si>
  <si>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</si>
  <si>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</si>
  <si>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</si>
  <si>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</si>
  <si>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</si>
  <si>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</si>
  <si>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</si>
  <si>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</si>
  <si>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</si>
  <si>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</si>
  <si>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</si>
  <si>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</si>
  <si>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</si>
  <si>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</si>
  <si>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</si>
  <si>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</si>
  <si>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</si>
  <si>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</si>
  <si>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</si>
  <si>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</si>
  <si>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</si>
  <si>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</si>
  <si>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</si>
  <si>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</si>
  <si>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</si>
  <si>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</si>
  <si>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</si>
  <si>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</si>
  <si>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</si>
  <si>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</si>
  <si>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</si>
  <si>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</si>
  <si>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</si>
  <si>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</si>
  <si>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</si>
  <si>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</si>
  <si>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</si>
  <si>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</si>
  <si>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</si>
  <si>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</si>
  <si>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</si>
  <si>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</si>
  <si>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</si>
  <si>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</si>
  <si>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</si>
  <si>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</si>
  <si>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</si>
  <si>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</si>
  <si>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</si>
  <si>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</si>
  <si>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</si>
  <si>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</si>
  <si>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</si>
  <si>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</si>
  <si>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</si>
  <si>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</si>
  <si>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</si>
  <si>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</si>
  <si>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</si>
  <si>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</si>
  <si>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</si>
  <si>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</si>
  <si>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</si>
  <si>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</si>
  <si>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</si>
  <si>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</si>
  <si>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</si>
  <si>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</si>
  <si>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</si>
  <si>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</si>
  <si>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</si>
  <si>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</si>
  <si>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</si>
  <si>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</si>
  <si>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</si>
  <si>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</si>
  <si>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</si>
  <si>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</si>
  <si>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</si>
  <si>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</si>
  <si>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</si>
  <si>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</si>
  <si>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</si>
  <si>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</si>
  <si>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</si>
  <si>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</si>
  <si>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</si>
  <si>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</si>
  <si>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</si>
  <si>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</si>
  <si>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</si>
  <si>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</si>
  <si>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</si>
  <si>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</si>
  <si>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</si>
  <si>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</si>
  <si>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</si>
  <si>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</si>
  <si>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</si>
  <si>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</si>
  <si>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</si>
  <si>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</si>
  <si>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</si>
  <si>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</si>
  <si>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</si>
  <si>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</si>
  <si>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</si>
  <si>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</si>
  <si>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</si>
  <si>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</si>
  <si>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</si>
  <si>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</si>
  <si>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</si>
  <si>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</si>
  <si>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</si>
  <si>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</si>
  <si>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</si>
  <si>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</si>
  <si>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</si>
  <si>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</si>
  <si>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</si>
  <si>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</si>
  <si>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</si>
  <si>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</si>
  <si>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</si>
  <si>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</si>
  <si>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</si>
  <si>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</si>
  <si>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</si>
  <si>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</si>
  <si>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</si>
  <si>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</si>
  <si>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</si>
  <si>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</si>
  <si>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</si>
  <si>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</si>
  <si>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</si>
  <si>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</si>
  <si>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</si>
  <si>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</si>
  <si>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</si>
  <si>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</si>
  <si>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</si>
  <si>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</si>
  <si>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</si>
  <si>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</si>
  <si>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</si>
  <si>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</si>
  <si>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</si>
  <si>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</si>
  <si>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</si>
  <si>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</si>
  <si>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</si>
  <si>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</si>
  <si>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</si>
  <si>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</si>
  <si>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</si>
  <si>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</si>
  <si>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</si>
  <si>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</si>
  <si>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</si>
  <si>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</si>
  <si>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</si>
  <si>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</si>
  <si>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</si>
  <si>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</si>
  <si>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</si>
  <si>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</si>
  <si>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</si>
  <si>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</si>
  <si>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</si>
  <si>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</si>
  <si>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</si>
  <si>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</si>
  <si>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</si>
  <si>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</si>
  <si>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</si>
  <si>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</si>
  <si>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</si>
  <si>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</si>
  <si>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</si>
  <si>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</si>
  <si>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</si>
  <si>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</si>
  <si>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</si>
  <si>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</si>
  <si>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</si>
  <si>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</si>
  <si>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</si>
  <si>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</si>
  <si>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Salix nigra</t>
  </si>
  <si>
    <t>Black Willow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</si>
  <si>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</si>
  <si>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</si>
  <si>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</si>
  <si>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</si>
  <si>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</si>
  <si>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</si>
  <si>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</si>
  <si>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</si>
  <si>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</si>
  <si>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</si>
  <si>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</si>
  <si>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</si>
  <si>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</si>
  <si>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</si>
  <si>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</si>
  <si>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</si>
  <si>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</si>
  <si>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</si>
  <si>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</si>
  <si>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</si>
  <si>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</si>
  <si>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</si>
  <si>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</si>
  <si>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</si>
  <si>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</si>
  <si>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</si>
  <si>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</si>
  <si>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</si>
  <si>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</si>
  <si>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</si>
  <si>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</si>
  <si>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</si>
  <si>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</si>
  <si>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</si>
  <si>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</si>
  <si>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</si>
  <si>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</si>
  <si>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</si>
  <si>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</si>
  <si>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</si>
  <si>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</si>
  <si>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</si>
  <si>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</si>
  <si>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</si>
  <si>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</si>
  <si>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</si>
  <si>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</si>
  <si>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</si>
  <si>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</si>
  <si>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</si>
  <si>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</si>
  <si>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</si>
  <si>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</si>
  <si>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</si>
  <si>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</si>
  <si>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</si>
  <si>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</si>
  <si>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</si>
  <si>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</si>
  <si>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</si>
  <si>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</si>
  <si>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</si>
  <si>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</si>
  <si>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</si>
  <si>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</si>
  <si>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</si>
  <si>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</si>
  <si>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</si>
  <si>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</si>
  <si>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</si>
  <si>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</si>
  <si>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</si>
  <si>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</si>
  <si>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</si>
  <si>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</si>
  <si>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</si>
  <si>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</si>
  <si>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</si>
  <si>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</si>
  <si>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</si>
  <si>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</si>
  <si>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</si>
  <si>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</si>
  <si>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</si>
  <si>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</si>
  <si>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</si>
  <si>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</si>
  <si>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</si>
  <si>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</si>
  <si>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</si>
  <si>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</si>
  <si>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</si>
  <si>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</si>
  <si>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</si>
  <si>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</si>
  <si>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</si>
  <si>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</si>
  <si>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</si>
  <si>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</si>
  <si>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</si>
  <si>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</si>
  <si>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</si>
  <si>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</si>
  <si>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</si>
  <si>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</si>
  <si>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</si>
  <si>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</si>
  <si>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</si>
  <si>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</si>
  <si>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</si>
  <si>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</si>
  <si>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</si>
  <si>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</si>
  <si>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</si>
  <si>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</si>
  <si>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</si>
  <si>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</si>
  <si>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</si>
  <si>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</si>
  <si>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</si>
  <si>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</si>
  <si>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</si>
  <si>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</si>
  <si>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</si>
  <si>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</si>
  <si>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</si>
  <si>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</si>
  <si>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</si>
  <si>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</si>
  <si>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</si>
  <si>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</si>
  <si>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</si>
  <si>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</si>
  <si>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</si>
  <si>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</si>
  <si>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</si>
  <si>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</si>
  <si>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</si>
  <si>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</si>
  <si>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</si>
  <si>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</si>
  <si>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</si>
  <si>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</si>
  <si>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</si>
  <si>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</si>
  <si>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</si>
  <si>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</si>
  <si>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</si>
  <si>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</si>
  <si>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</si>
  <si>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</si>
  <si>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</si>
  <si>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</si>
  <si>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</si>
  <si>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</si>
  <si>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</si>
  <si>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</si>
  <si>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</si>
  <si>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</si>
  <si>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</si>
  <si>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</si>
  <si>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</si>
  <si>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</si>
  <si>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</si>
  <si>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</si>
  <si>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</si>
  <si>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</si>
  <si>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</si>
  <si>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</si>
  <si>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</si>
  <si>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</si>
  <si>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</si>
  <si>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</si>
  <si>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</si>
  <si>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</si>
  <si>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</si>
  <si>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</si>
  <si>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</si>
  <si>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</si>
  <si>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</si>
  <si>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</si>
  <si>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</si>
  <si>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</si>
  <si>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</si>
  <si>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</si>
  <si>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</si>
  <si>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</si>
  <si>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</si>
  <si>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</si>
  <si>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</si>
  <si>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</si>
  <si>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</si>
  <si>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</si>
  <si>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</si>
  <si>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</si>
  <si>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</si>
  <si>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</si>
  <si>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</si>
  <si>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</si>
  <si>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</si>
  <si>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</si>
  <si>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</si>
  <si>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</si>
  <si>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</si>
  <si>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</si>
  <si>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</si>
  <si>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</si>
  <si>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</si>
  <si>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</si>
  <si>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</si>
  <si>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</si>
  <si>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</si>
  <si>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</si>
  <si>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</si>
  <si>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</si>
  <si>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</si>
  <si>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</si>
  <si>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</si>
  <si>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</si>
  <si>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</si>
  <si>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</si>
  <si>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</si>
  <si>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</si>
  <si>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</si>
  <si>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</si>
  <si>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</si>
  <si>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</si>
  <si>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</si>
  <si>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</si>
  <si>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</si>
  <si>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</si>
  <si>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</si>
  <si>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</si>
  <si>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</si>
  <si>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</si>
  <si>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</si>
  <si>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</si>
  <si>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</si>
  <si>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</si>
  <si>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</si>
  <si>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</si>
  <si>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</si>
  <si>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</si>
  <si>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</si>
  <si>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</si>
  <si>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</si>
  <si>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</si>
  <si>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</si>
  <si>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</si>
  <si>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</si>
  <si>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</si>
  <si>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</si>
  <si>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</si>
  <si>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</si>
  <si>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</si>
  <si>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</si>
  <si>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</si>
  <si>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</si>
  <si>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</si>
  <si>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</si>
  <si>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</si>
  <si>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</si>
  <si>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</si>
  <si>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</si>
  <si>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</si>
  <si>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</si>
  <si>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</si>
  <si>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</si>
  <si>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</si>
  <si>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</si>
  <si>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</si>
  <si>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</si>
  <si>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</si>
  <si>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</si>
  <si>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</si>
  <si>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</si>
  <si>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</si>
  <si>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</si>
  <si>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</si>
  <si>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</si>
  <si>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</si>
  <si>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</si>
  <si>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</si>
  <si>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</si>
  <si>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</si>
  <si>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</si>
  <si>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</si>
  <si>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</si>
  <si>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</si>
  <si>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</si>
  <si>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</si>
  <si>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</si>
  <si>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</si>
  <si>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</si>
  <si>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</si>
  <si>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</si>
  <si>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</si>
  <si>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</si>
  <si>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</si>
  <si>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</si>
  <si>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</si>
  <si>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</si>
  <si>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</si>
  <si>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</si>
  <si>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</si>
  <si>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</si>
  <si>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</si>
  <si>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</si>
  <si>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</si>
  <si>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</si>
  <si>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</si>
  <si>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</si>
  <si>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</si>
  <si>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</si>
  <si>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</si>
  <si>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</si>
  <si>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</si>
  <si>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</si>
  <si>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</si>
  <si>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</si>
  <si>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</si>
  <si>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</si>
  <si>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</si>
  <si>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</si>
  <si>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</si>
  <si>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</si>
  <si>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</si>
  <si>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</si>
  <si>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</si>
  <si>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</si>
  <si>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</si>
  <si>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</si>
  <si>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</si>
  <si>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</si>
  <si>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</si>
  <si>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</si>
  <si>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</si>
  <si>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</si>
  <si>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</si>
  <si>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</si>
  <si>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</si>
  <si>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</si>
  <si>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</si>
  <si>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</si>
  <si>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</si>
  <si>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</si>
  <si>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</si>
  <si>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</si>
  <si>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</si>
  <si>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</si>
  <si>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</si>
  <si>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</si>
  <si>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</si>
  <si>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</si>
  <si>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</si>
  <si>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</si>
  <si>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</si>
  <si>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</si>
  <si>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</si>
  <si>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</si>
  <si>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</si>
  <si>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</si>
  <si>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</si>
  <si>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</si>
  <si>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</si>
  <si>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</si>
  <si>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</si>
  <si>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</si>
  <si>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</si>
  <si>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</si>
  <si>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</si>
  <si>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</si>
  <si>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</si>
  <si>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</si>
  <si>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</si>
  <si>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</si>
  <si>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</si>
  <si>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</si>
  <si>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</si>
  <si>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</si>
  <si>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</si>
  <si>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</si>
  <si>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</si>
  <si>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</si>
  <si>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</si>
  <si>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</si>
  <si>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</si>
  <si>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</si>
  <si>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</si>
  <si>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</si>
  <si>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</si>
  <si>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</si>
  <si>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</si>
  <si>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</si>
  <si>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</si>
  <si>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</si>
  <si>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</si>
  <si>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</si>
  <si>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</si>
  <si>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</si>
  <si>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</si>
  <si>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</si>
  <si>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</si>
  <si>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</si>
  <si>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</si>
  <si>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</si>
  <si>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</si>
  <si>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</si>
  <si>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</si>
  <si>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</si>
  <si>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</si>
  <si>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</si>
  <si>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</si>
  <si>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</si>
  <si>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</si>
  <si>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</si>
  <si>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</si>
  <si>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</si>
  <si>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</si>
  <si>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</si>
  <si>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</si>
  <si>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</si>
  <si>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</si>
  <si>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</si>
  <si>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</si>
  <si>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</si>
  <si>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</si>
  <si>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</si>
  <si>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</si>
  <si>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</si>
  <si>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</si>
  <si>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</si>
  <si>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</si>
  <si>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</si>
  <si>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</si>
  <si>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</si>
  <si>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</si>
  <si>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</si>
  <si>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</si>
  <si>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</si>
  <si>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</si>
  <si>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</si>
  <si>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</si>
  <si>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</si>
  <si>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</si>
  <si>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</si>
  <si>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</si>
  <si>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</si>
  <si>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</si>
  <si>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</si>
  <si>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</si>
  <si>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</si>
  <si>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</si>
  <si>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</si>
  <si>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</si>
  <si>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</si>
  <si>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</si>
  <si>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</si>
  <si>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</si>
  <si>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</si>
  <si>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</si>
  <si>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</si>
  <si>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</si>
  <si>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</si>
  <si>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</si>
  <si>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</si>
  <si>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</si>
  <si>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</si>
  <si>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</si>
  <si>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</si>
  <si>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</si>
  <si>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</si>
  <si>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</si>
  <si>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</si>
  <si>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</si>
  <si>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</si>
  <si>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</si>
  <si>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</si>
  <si>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</si>
  <si>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</si>
  <si>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</si>
  <si>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</si>
  <si>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</si>
  <si>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</si>
  <si>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</si>
  <si>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</si>
  <si>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</si>
  <si>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</si>
  <si>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</si>
  <si>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</si>
  <si>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</si>
  <si>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</si>
  <si>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</si>
  <si>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</si>
  <si>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</si>
  <si>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</si>
  <si>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</si>
  <si>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</si>
  <si>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</si>
  <si>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</si>
  <si>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</si>
  <si>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</si>
  <si>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</si>
  <si>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</si>
  <si>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</si>
  <si>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</si>
  <si>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</si>
  <si>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</si>
  <si>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</si>
  <si>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</si>
  <si>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</si>
  <si>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</si>
  <si>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</si>
  <si>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</si>
  <si>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</si>
  <si>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</si>
  <si>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</si>
  <si>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</si>
  <si>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</si>
  <si>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</si>
  <si>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</si>
  <si>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</si>
  <si>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</si>
  <si>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</si>
  <si>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</si>
  <si>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</si>
  <si>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</si>
  <si>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</si>
  <si>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</si>
  <si>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</si>
  <si>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</si>
  <si>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</si>
  <si>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</si>
  <si>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</si>
  <si>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</si>
  <si>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</si>
  <si>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</si>
  <si>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</si>
  <si>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</si>
  <si>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</si>
  <si>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</si>
  <si>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</si>
  <si>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</si>
  <si>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</si>
  <si>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</si>
  <si>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</si>
  <si>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</si>
  <si>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</si>
  <si>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</si>
  <si>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</si>
  <si>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</si>
  <si>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</si>
  <si>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</si>
  <si>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</si>
  <si>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</si>
  <si>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</si>
  <si>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</si>
  <si>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</si>
  <si>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</si>
  <si>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</si>
  <si>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</si>
  <si>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</si>
  <si>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</si>
  <si>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</si>
  <si>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</si>
  <si>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</si>
  <si>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</si>
  <si>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</si>
  <si>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</si>
  <si>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</si>
  <si>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</si>
  <si>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</si>
  <si>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</si>
  <si>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</si>
  <si>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</si>
  <si>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</si>
  <si>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</si>
  <si>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</si>
  <si>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</si>
  <si>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</si>
  <si>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</si>
  <si>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</si>
  <si>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</si>
  <si>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</si>
  <si>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</si>
  <si>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</si>
  <si>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</si>
  <si>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</si>
  <si>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</si>
  <si>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</si>
  <si>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</si>
  <si>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</si>
  <si>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</si>
  <si>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</si>
  <si>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</si>
  <si>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</si>
  <si>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</si>
  <si>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</si>
  <si>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</si>
  <si>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</si>
  <si>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</si>
  <si>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</si>
  <si>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</si>
  <si>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</si>
  <si>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</si>
  <si>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</si>
  <si>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</si>
  <si>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</si>
  <si>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</si>
  <si>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</si>
  <si>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</si>
  <si>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</si>
  <si>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</si>
  <si>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</si>
  <si>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</si>
  <si>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</si>
  <si>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</si>
  <si>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</si>
  <si>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</si>
  <si>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</si>
  <si>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</si>
  <si>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</si>
  <si>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</si>
  <si>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</si>
  <si>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</si>
  <si>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</si>
  <si>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</si>
  <si>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</si>
  <si>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</si>
  <si>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</si>
  <si>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</si>
  <si>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</si>
  <si>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</si>
  <si>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</si>
  <si>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</si>
  <si>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</si>
  <si>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</si>
  <si>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</si>
  <si>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</si>
  <si>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</si>
  <si>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</si>
  <si>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</si>
  <si>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</si>
  <si>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</si>
  <si>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</si>
  <si>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</si>
  <si>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</si>
  <si>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</si>
  <si>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</si>
  <si>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</si>
  <si>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</si>
  <si>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</si>
  <si>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</si>
  <si>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</si>
  <si>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</si>
  <si>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</si>
  <si>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</si>
  <si>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</si>
  <si>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</si>
  <si>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</si>
  <si>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</si>
  <si>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</si>
  <si>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</si>
  <si>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</si>
  <si>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</si>
  <si>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</si>
  <si>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</si>
  <si>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</si>
  <si>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</si>
  <si>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</si>
  <si>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</si>
  <si>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</si>
  <si>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</si>
  <si>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</si>
  <si>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</si>
  <si>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</si>
  <si>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</si>
  <si>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</si>
  <si>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</si>
  <si>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</si>
  <si>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</si>
  <si>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</si>
  <si>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</si>
  <si>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</si>
  <si>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</si>
  <si>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</si>
  <si>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</si>
  <si>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</si>
  <si>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</si>
  <si>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</si>
  <si>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</si>
  <si>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</si>
  <si>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</si>
  <si>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</si>
  <si>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</si>
  <si>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</si>
  <si>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</si>
  <si>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</si>
  <si>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</si>
  <si>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</si>
  <si>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</si>
  <si>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</si>
  <si>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</si>
  <si>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</si>
  <si>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</si>
  <si>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</si>
  <si>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</si>
  <si>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</si>
  <si>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</si>
  <si>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</si>
  <si>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</si>
  <si>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</si>
  <si>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</si>
  <si>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</si>
  <si>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</si>
  <si>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</si>
  <si>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</si>
  <si>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</si>
  <si>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</si>
  <si>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</si>
  <si>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</si>
  <si>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</si>
  <si>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</si>
  <si>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</si>
  <si>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</si>
  <si>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</si>
  <si>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</si>
  <si>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</si>
  <si>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</si>
  <si>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</si>
  <si>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</si>
  <si>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</si>
  <si>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</si>
  <si>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</si>
  <si>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</si>
  <si>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</si>
  <si>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</si>
  <si>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</si>
  <si>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</si>
  <si>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</si>
  <si>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</si>
  <si>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</si>
  <si>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</si>
  <si>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</si>
  <si>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</si>
  <si>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</si>
  <si>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</si>
  <si>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</si>
  <si>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</si>
  <si>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</si>
  <si>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</si>
  <si>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</si>
  <si>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</si>
  <si>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</si>
  <si>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</si>
  <si>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</si>
  <si>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</si>
  <si>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</si>
  <si>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</si>
  <si>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</si>
  <si>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</si>
  <si>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</si>
  <si>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</si>
  <si>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</si>
  <si>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</si>
  <si>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</si>
  <si>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</si>
  <si>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</si>
  <si>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</si>
  <si>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</si>
  <si>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</si>
  <si>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</si>
  <si>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</si>
  <si>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</si>
  <si>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</si>
  <si>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</si>
  <si>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</si>
  <si>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</si>
  <si>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</si>
  <si>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</si>
  <si>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</si>
  <si>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</si>
  <si>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</si>
  <si>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</si>
  <si>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</si>
  <si>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</si>
  <si>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</si>
  <si>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</si>
  <si>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</si>
  <si>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</si>
  <si>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</si>
  <si>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</si>
  <si>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</si>
  <si>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</si>
  <si>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</si>
  <si>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</si>
  <si>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</si>
  <si>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</si>
  <si>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</si>
  <si>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</si>
  <si>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</si>
  <si>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</si>
  <si>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</si>
  <si>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</si>
  <si>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</si>
  <si>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</si>
  <si>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</si>
  <si>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</si>
  <si>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</si>
  <si>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</si>
  <si>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</si>
  <si>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</si>
  <si>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</si>
  <si>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</si>
  <si>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</si>
  <si>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</si>
  <si>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</si>
  <si>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</si>
  <si>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</si>
  <si>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</si>
  <si>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</si>
  <si>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</si>
  <si>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</si>
  <si>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</si>
  <si>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</si>
  <si>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</si>
  <si>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</si>
  <si>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</si>
  <si>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</si>
  <si>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</si>
  <si>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</si>
  <si>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</si>
  <si>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</si>
  <si>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</si>
  <si>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</si>
  <si>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</si>
  <si>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</si>
  <si>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</si>
  <si>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</si>
  <si>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</si>
  <si>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</si>
  <si>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</si>
  <si>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</si>
  <si>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</si>
  <si>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</si>
  <si>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</si>
  <si>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</si>
  <si>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</si>
  <si>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</si>
  <si>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</si>
  <si>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</si>
  <si>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</si>
  <si>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</si>
  <si>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</si>
  <si>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</si>
  <si>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</si>
  <si>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</si>
  <si>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</si>
  <si>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</si>
  <si>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</si>
  <si>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</si>
  <si>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</si>
  <si>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</si>
  <si>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</si>
  <si>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</si>
  <si>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</si>
  <si>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</si>
  <si>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</si>
  <si>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</si>
  <si>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</si>
  <si>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</si>
  <si>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</si>
  <si>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</si>
  <si>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</si>
  <si>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</si>
  <si>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</si>
  <si>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</si>
  <si>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</si>
  <si>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</si>
  <si>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</si>
  <si>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</si>
  <si>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</si>
  <si>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</si>
  <si>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</si>
  <si>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</si>
  <si>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</si>
  <si>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</si>
  <si>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</si>
  <si>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</si>
  <si>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</si>
  <si>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</si>
  <si>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</si>
  <si>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</si>
  <si>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</si>
  <si>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</si>
  <si>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</si>
  <si>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</si>
  <si>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</si>
  <si>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</si>
  <si>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</si>
  <si>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</si>
  <si>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</si>
  <si>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</si>
  <si>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</si>
  <si>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</si>
  <si>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</si>
  <si>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</si>
  <si>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</si>
  <si>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</si>
  <si>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</si>
  <si>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</si>
  <si>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</si>
  <si>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</si>
  <si>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</si>
  <si>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</si>
  <si>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</si>
  <si>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</si>
  <si>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</si>
  <si>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</si>
  <si>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</si>
  <si>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</si>
  <si>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</si>
  <si>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</si>
  <si>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</si>
  <si>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</si>
  <si>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</si>
  <si>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</si>
  <si>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</si>
  <si>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</si>
  <si>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</si>
  <si>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</si>
  <si>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</si>
  <si>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</si>
  <si>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</si>
  <si>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</si>
  <si>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</si>
  <si>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</si>
  <si>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</si>
  <si>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</si>
  <si>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</si>
  <si>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</si>
  <si>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</si>
  <si>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</si>
  <si>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</si>
  <si>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</si>
  <si>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</si>
  <si>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</si>
  <si>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</si>
  <si>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</si>
  <si>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</si>
  <si>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</si>
  <si>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</si>
  <si>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</si>
  <si>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</si>
  <si>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</si>
  <si>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</si>
  <si>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</si>
  <si>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</si>
  <si>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</si>
  <si>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</si>
  <si>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</si>
  <si>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</si>
  <si>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</si>
  <si>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</si>
  <si>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</si>
  <si>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</si>
  <si>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</si>
  <si>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</si>
  <si>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</si>
  <si>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</si>
  <si>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</si>
  <si>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</si>
  <si>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</si>
  <si>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</si>
  <si>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</si>
  <si>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</si>
  <si>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</si>
  <si>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</si>
  <si>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</si>
  <si>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</si>
  <si>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</si>
  <si>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</si>
  <si>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</si>
  <si>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</si>
  <si>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</si>
  <si>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</si>
  <si>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</si>
  <si>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</si>
  <si>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</si>
  <si>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</si>
  <si>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</si>
  <si>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</si>
  <si>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</si>
  <si>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</si>
  <si>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</si>
  <si>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</si>
  <si>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</si>
  <si>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</si>
  <si>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</si>
  <si>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</si>
  <si>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</si>
  <si>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</si>
  <si>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</si>
  <si>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</si>
  <si>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</si>
  <si>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</si>
  <si>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</si>
  <si>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</si>
  <si>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</si>
  <si>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</si>
  <si>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</si>
  <si>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</si>
  <si>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</si>
  <si>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</si>
  <si>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</si>
  <si>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</si>
  <si>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</si>
  <si>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</si>
  <si>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</si>
  <si>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</si>
  <si>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</si>
  <si>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</si>
  <si>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</si>
  <si>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</si>
  <si>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</si>
  <si>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</si>
  <si>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</si>
  <si>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</si>
  <si>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</si>
  <si>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</si>
  <si>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</si>
  <si>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</si>
  <si>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</si>
  <si>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</si>
  <si>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</si>
  <si>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</si>
  <si>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</si>
  <si>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</si>
  <si>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</si>
  <si>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</si>
  <si>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</si>
  <si>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</si>
  <si>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</si>
  <si>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</si>
  <si>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</si>
  <si>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</si>
  <si>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</si>
  <si>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</si>
  <si>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</si>
  <si>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</si>
  <si>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</si>
  <si>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</si>
  <si>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</si>
  <si>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</si>
  <si>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</si>
  <si>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</si>
  <si>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</si>
  <si>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</si>
  <si>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</si>
  <si>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</si>
  <si>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</si>
  <si>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</si>
  <si>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</si>
  <si>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</si>
  <si>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</si>
  <si>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</si>
  <si>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</si>
  <si>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</si>
  <si>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</si>
  <si>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</si>
  <si>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</si>
  <si>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</si>
  <si>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Symphoricarpos orbiculatus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</si>
  <si>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</si>
  <si>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</si>
  <si>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</si>
  <si>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</si>
  <si>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</si>
  <si>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</si>
  <si>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</si>
  <si>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</si>
  <si>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</si>
  <si>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</si>
  <si>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</si>
  <si>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</si>
  <si>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</si>
  <si>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</si>
  <si>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</si>
  <si>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</si>
  <si>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</si>
  <si>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</si>
  <si>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</si>
  <si>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</si>
  <si>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</si>
  <si>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</si>
  <si>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</si>
  <si>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</si>
  <si>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</si>
  <si>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</si>
  <si>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</si>
  <si>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</si>
  <si>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</si>
  <si>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</si>
  <si>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</si>
  <si>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</si>
  <si>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</si>
  <si>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</si>
  <si>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</si>
  <si>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</si>
  <si>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</si>
  <si>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</si>
  <si>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</si>
  <si>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</si>
  <si>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</si>
  <si>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</si>
  <si>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</si>
  <si>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</si>
  <si>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</si>
  <si>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</si>
  <si>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</si>
  <si>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</si>
  <si>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</si>
  <si>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</si>
  <si>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</si>
  <si>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</si>
  <si>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</si>
  <si>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</si>
  <si>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</si>
  <si>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</si>
  <si>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</si>
  <si>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</si>
  <si>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</si>
  <si>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</si>
  <si>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</si>
  <si>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</si>
  <si>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</si>
  <si>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</si>
  <si>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</si>
  <si>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</si>
  <si>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</si>
  <si>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</si>
  <si>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</si>
  <si>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</si>
  <si>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</si>
  <si>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</si>
  <si>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</si>
  <si>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</si>
  <si>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</si>
  <si>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</si>
  <si>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</si>
  <si>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</si>
  <si>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</si>
  <si>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</si>
  <si>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</si>
  <si>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</si>
  <si>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</si>
  <si>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</si>
  <si>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</si>
  <si>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</si>
  <si>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</si>
  <si>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</si>
  <si>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</si>
  <si>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</si>
  <si>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</si>
  <si>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</si>
  <si>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</si>
  <si>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</si>
  <si>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</si>
  <si>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</si>
  <si>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</si>
  <si>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</si>
  <si>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</si>
  <si>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</si>
  <si>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</si>
  <si>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</si>
  <si>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</si>
  <si>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</si>
  <si>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</si>
  <si>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</si>
  <si>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</si>
  <si>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</si>
  <si>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</si>
  <si>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</si>
  <si>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</si>
  <si>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</si>
  <si>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</si>
  <si>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</si>
  <si>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</si>
  <si>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</si>
  <si>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</si>
  <si>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</si>
  <si>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</si>
  <si>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</si>
  <si>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</si>
  <si>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</si>
  <si>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</si>
  <si>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</si>
  <si>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</si>
  <si>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</si>
  <si>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</si>
  <si>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</si>
  <si>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</si>
  <si>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</si>
  <si>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</si>
  <si>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</si>
  <si>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</si>
  <si>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</si>
  <si>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</si>
  <si>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</si>
  <si>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</si>
  <si>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</si>
  <si>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</si>
  <si>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</si>
  <si>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</si>
  <si>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</si>
  <si>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</si>
  <si>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</si>
  <si>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</si>
  <si>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</si>
  <si>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</si>
  <si>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</si>
  <si>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</si>
  <si>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</si>
  <si>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</si>
  <si>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</si>
  <si>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</si>
  <si>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</si>
  <si>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</si>
  <si>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</si>
  <si>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</si>
  <si>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</si>
  <si>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</si>
  <si>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</si>
  <si>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</si>
  <si>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</si>
  <si>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</si>
  <si>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</si>
  <si>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</si>
  <si>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</si>
  <si>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</si>
  <si>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</si>
  <si>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</si>
  <si>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</si>
  <si>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</si>
  <si>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</si>
  <si>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</si>
  <si>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</si>
  <si>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</si>
  <si>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</si>
  <si>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</si>
  <si>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</si>
  <si>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</si>
  <si>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</si>
  <si>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</si>
  <si>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</si>
  <si>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</si>
  <si>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</si>
  <si>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</si>
  <si>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</si>
  <si>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</si>
  <si>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</si>
  <si>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</si>
  <si>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</si>
  <si>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</si>
  <si>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</si>
  <si>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</si>
  <si>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</si>
  <si>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</si>
  <si>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</si>
  <si>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</si>
  <si>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</si>
  <si>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</si>
  <si>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</si>
  <si>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</si>
  <si>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</si>
  <si>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</si>
  <si>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</si>
  <si>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</si>
  <si>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</si>
  <si>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</si>
  <si>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</si>
  <si>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</si>
  <si>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</si>
  <si>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</si>
  <si>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</si>
  <si>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</si>
  <si>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</si>
  <si>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</si>
  <si>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</si>
  <si>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</si>
  <si>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</si>
  <si>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</si>
  <si>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</si>
  <si>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</si>
  <si>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</si>
  <si>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</si>
  <si>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</si>
  <si>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</si>
  <si>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</si>
  <si>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</si>
  <si>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</si>
  <si>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</si>
  <si>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</si>
  <si>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</si>
  <si>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</si>
  <si>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</si>
  <si>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</si>
  <si>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</si>
  <si>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</si>
  <si>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</si>
  <si>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</si>
  <si>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</si>
  <si>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</si>
  <si>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</si>
  <si>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</si>
  <si>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</si>
  <si>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</si>
  <si>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</si>
  <si>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</si>
  <si>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</si>
  <si>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</si>
  <si>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</si>
  <si>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</si>
  <si>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</si>
  <si>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</si>
  <si>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</si>
  <si>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</si>
  <si>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</si>
  <si>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</si>
  <si>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</si>
  <si>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</si>
  <si>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</si>
  <si>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</si>
  <si>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</si>
  <si>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</si>
  <si>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</si>
  <si>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</si>
  <si>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</si>
  <si>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</si>
  <si>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</si>
  <si>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</si>
  <si>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</si>
  <si>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</si>
  <si>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</si>
  <si>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</si>
  <si>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</si>
  <si>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</si>
  <si>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</si>
  <si>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</si>
  <si>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</si>
  <si>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</si>
  <si>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</si>
  <si>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</si>
  <si>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</si>
  <si>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</si>
  <si>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</si>
  <si>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</si>
  <si>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</si>
  <si>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</si>
  <si>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</si>
  <si>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</si>
  <si>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</si>
  <si>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</si>
  <si>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</si>
  <si>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</si>
  <si>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</si>
  <si>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</si>
  <si>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</si>
  <si>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</si>
  <si>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</si>
  <si>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</si>
  <si>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</si>
  <si>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</si>
  <si>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</si>
  <si>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</si>
  <si>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</si>
  <si>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</si>
  <si>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</si>
  <si>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</si>
  <si>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</si>
  <si>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</si>
  <si>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</si>
  <si>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</si>
  <si>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</si>
  <si>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</si>
  <si>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</si>
  <si>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</si>
  <si>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</si>
  <si>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</si>
  <si>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</si>
  <si>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</si>
  <si>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</si>
  <si>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</si>
  <si>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</si>
  <si>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</si>
  <si>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</si>
  <si>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</si>
  <si>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</si>
  <si>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</si>
  <si>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</si>
  <si>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</si>
  <si>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</si>
  <si>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</si>
  <si>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</si>
  <si>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</si>
  <si>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</si>
  <si>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</si>
  <si>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</si>
  <si>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</si>
  <si>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</si>
  <si>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</si>
  <si>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</si>
  <si>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</si>
  <si>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</si>
  <si>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</si>
  <si>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</si>
  <si>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</si>
  <si>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</si>
  <si>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</si>
  <si>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</si>
  <si>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</si>
  <si>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</si>
  <si>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</si>
  <si>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</si>
  <si>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</si>
  <si>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</si>
  <si>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</si>
  <si>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</si>
  <si>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</si>
  <si>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</si>
  <si>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</si>
  <si>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</si>
  <si>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</si>
  <si>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</si>
  <si>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</si>
  <si>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</si>
  <si>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</si>
  <si>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</si>
  <si>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</si>
  <si>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</si>
  <si>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</si>
  <si>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</si>
  <si>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</si>
  <si>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</si>
  <si>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</si>
  <si>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</si>
  <si>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</si>
  <si>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</si>
  <si>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</si>
  <si>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</si>
  <si>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</si>
  <si>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</si>
  <si>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</si>
  <si>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</si>
  <si>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</si>
  <si>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</si>
  <si>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</si>
  <si>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</si>
  <si>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</si>
  <si>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</si>
  <si>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</si>
  <si>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</si>
  <si>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</si>
  <si>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</si>
  <si>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</si>
  <si>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</si>
  <si>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</si>
  <si>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</si>
  <si>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</si>
  <si>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</si>
  <si>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</si>
  <si>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</si>
  <si>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</si>
  <si>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</si>
  <si>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</si>
  <si>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</si>
  <si>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</si>
  <si>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</si>
  <si>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</si>
  <si>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</si>
  <si>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</si>
  <si>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</si>
  <si>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</si>
  <si>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</si>
  <si>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</si>
  <si>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</si>
  <si>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</si>
  <si>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</si>
  <si>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</si>
  <si>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</si>
  <si>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</si>
  <si>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</si>
  <si>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</si>
  <si>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</si>
  <si>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</si>
  <si>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</si>
  <si>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</si>
  <si>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</si>
  <si>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</si>
  <si>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</si>
  <si>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</si>
  <si>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</si>
  <si>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</si>
  <si>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</si>
  <si>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</si>
  <si>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</si>
  <si>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</si>
  <si>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</si>
  <si>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</si>
  <si>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</si>
  <si>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</si>
  <si>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</si>
  <si>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</si>
  <si>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</si>
  <si>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</si>
  <si>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</si>
  <si>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</si>
  <si>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</si>
  <si>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</si>
  <si>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</si>
  <si>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</si>
  <si>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</si>
  <si>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</si>
  <si>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</si>
  <si>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</si>
  <si>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</si>
  <si>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</si>
  <si>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</si>
  <si>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</si>
  <si>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</si>
  <si>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</si>
  <si>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</si>
  <si>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</si>
  <si>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</si>
  <si>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</si>
  <si>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</si>
  <si>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</si>
  <si>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</si>
  <si>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</si>
  <si>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</si>
  <si>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</si>
  <si>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</si>
  <si>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</si>
  <si>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</si>
  <si>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</si>
  <si>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</si>
  <si>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</si>
  <si>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</si>
  <si>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</si>
  <si>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</si>
  <si>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</si>
  <si>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</si>
  <si>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</si>
  <si>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</si>
  <si>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</si>
  <si>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</si>
  <si>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</si>
  <si>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</si>
  <si>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</si>
  <si>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</si>
  <si>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</si>
  <si>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</si>
  <si>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</si>
  <si>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</si>
  <si>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</si>
  <si>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</si>
  <si>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</si>
  <si>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</si>
  <si>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</si>
  <si>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</si>
  <si>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</si>
  <si>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</si>
  <si>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</si>
  <si>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</si>
  <si>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</si>
  <si>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</si>
  <si>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</si>
  <si>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</si>
  <si>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</si>
  <si>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</si>
  <si>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</si>
  <si>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</si>
  <si>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</si>
  <si>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</si>
  <si>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</si>
  <si>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</si>
  <si>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</si>
  <si>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</si>
  <si>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</si>
  <si>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</si>
  <si>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</si>
  <si>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</si>
  <si>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</si>
  <si>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</si>
  <si>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</si>
  <si>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</si>
  <si>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</si>
  <si>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</si>
  <si>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</si>
  <si>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</si>
  <si>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</si>
  <si>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</si>
  <si>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</si>
  <si>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</si>
  <si>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</si>
  <si>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</si>
  <si>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</si>
  <si>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</si>
  <si>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</si>
  <si>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</si>
  <si>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</si>
  <si>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</si>
  <si>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</si>
  <si>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</si>
  <si>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</si>
  <si>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</si>
  <si>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</si>
  <si>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</si>
  <si>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</si>
  <si>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</si>
  <si>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</si>
  <si>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</si>
  <si>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</si>
  <si>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</si>
  <si>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</si>
  <si>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</si>
  <si>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</si>
  <si>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</si>
  <si>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</si>
  <si>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</si>
  <si>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</si>
  <si>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</si>
  <si>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</si>
  <si>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</si>
  <si>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</si>
  <si>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</si>
  <si>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</si>
  <si>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</si>
  <si>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</si>
  <si>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</si>
  <si>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</si>
  <si>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</si>
  <si>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</si>
  <si>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</si>
  <si>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</si>
  <si>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</si>
  <si>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</si>
  <si>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</si>
  <si>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</si>
  <si>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</si>
  <si>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</si>
  <si>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</si>
  <si>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</si>
  <si>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</si>
  <si>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</si>
  <si>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</si>
  <si>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</si>
  <si>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</si>
  <si>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</si>
  <si>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</si>
  <si>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</si>
  <si>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</si>
  <si>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</si>
  <si>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</si>
  <si>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</si>
  <si>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</si>
  <si>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</si>
  <si>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</si>
  <si>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</si>
  <si>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</si>
  <si>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</si>
  <si>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</si>
  <si>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</si>
  <si>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</si>
  <si>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</si>
  <si>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</si>
  <si>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</si>
  <si>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</si>
  <si>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</si>
  <si>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</si>
  <si>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</si>
  <si>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</si>
  <si>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</si>
  <si>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</si>
  <si>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</si>
  <si>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</si>
  <si>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</si>
  <si>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</si>
  <si>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</si>
  <si>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</si>
  <si>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</si>
  <si>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</si>
  <si>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</si>
  <si>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</si>
  <si>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</si>
  <si>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</si>
  <si>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</si>
  <si>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</si>
  <si>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</si>
  <si>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</si>
  <si>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</si>
  <si>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</si>
  <si>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</si>
  <si>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</si>
  <si>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</si>
  <si>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</si>
  <si>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</si>
  <si>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</si>
  <si>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</si>
  <si>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</si>
  <si>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</si>
  <si>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</si>
  <si>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</si>
  <si>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</si>
  <si>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</si>
  <si>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</si>
  <si>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</si>
  <si>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</si>
  <si>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</si>
  <si>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</si>
  <si>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</si>
  <si>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</si>
  <si>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</si>
  <si>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</si>
  <si>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</si>
  <si>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</si>
  <si>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</si>
  <si>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</si>
  <si>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</si>
  <si>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</si>
  <si>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</si>
  <si>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</si>
  <si>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</si>
  <si>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</si>
  <si>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</si>
  <si>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</si>
  <si>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</si>
  <si>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</si>
  <si>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</si>
  <si>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</si>
  <si>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</si>
  <si>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</si>
  <si>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</si>
  <si>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</si>
  <si>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</si>
  <si>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</si>
  <si>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</si>
  <si>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</si>
  <si>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</si>
  <si>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</si>
  <si>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</si>
  <si>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</si>
  <si>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</si>
  <si>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</si>
  <si>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</si>
  <si>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</si>
  <si>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</si>
  <si>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</si>
  <si>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</si>
  <si>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</si>
  <si>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</si>
  <si>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</si>
  <si>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</si>
  <si>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</si>
  <si>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</si>
  <si>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</si>
  <si>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</si>
  <si>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</si>
  <si>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</si>
  <si>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</si>
  <si>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</si>
  <si>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</si>
  <si>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</si>
  <si>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</si>
  <si>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</si>
  <si>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</si>
  <si>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</si>
  <si>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</si>
  <si>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</si>
  <si>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</si>
  <si>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</si>
  <si>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</si>
  <si>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</si>
  <si>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</si>
  <si>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</si>
  <si>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</si>
  <si>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</si>
  <si>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</si>
  <si>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</si>
  <si>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</si>
  <si>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</si>
  <si>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</si>
  <si>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</si>
  <si>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</si>
  <si>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</si>
  <si>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</si>
  <si>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</si>
  <si>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</si>
  <si>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</si>
  <si>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</si>
  <si>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</si>
  <si>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</si>
  <si>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</si>
  <si>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</si>
  <si>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</si>
  <si>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</si>
  <si>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</si>
  <si>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</si>
  <si>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</si>
  <si>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</si>
  <si>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</si>
  <si>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</si>
  <si>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</si>
  <si>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</si>
  <si>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</si>
  <si>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</si>
  <si>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</si>
  <si>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</si>
  <si>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</si>
  <si>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</si>
  <si>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</si>
  <si>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</si>
  <si>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</si>
  <si>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</si>
  <si>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</si>
  <si>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</si>
  <si>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</si>
  <si>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</si>
  <si>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</si>
  <si>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</si>
  <si>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</si>
  <si>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</si>
  <si>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</si>
  <si>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</si>
  <si>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</si>
  <si>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</si>
  <si>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</si>
  <si>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</si>
  <si>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</si>
  <si>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</si>
  <si>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</si>
  <si>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</si>
  <si>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</si>
  <si>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</si>
  <si>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</si>
  <si>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</si>
  <si>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</si>
  <si>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</si>
  <si>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</si>
  <si>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</si>
  <si>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</si>
  <si>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</si>
  <si>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</si>
  <si>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</si>
  <si>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</si>
  <si>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</si>
  <si>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</si>
  <si>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</si>
  <si>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</si>
  <si>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</si>
  <si>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</si>
  <si>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</si>
  <si>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</si>
  <si>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</si>
  <si>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</si>
  <si>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</si>
  <si>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</si>
  <si>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</si>
  <si>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</si>
  <si>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</si>
  <si>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</si>
  <si>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</si>
  <si>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</si>
  <si>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</si>
  <si>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</si>
  <si>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</si>
  <si>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</si>
  <si>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</si>
  <si>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</si>
  <si>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</si>
  <si>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</si>
  <si>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</si>
  <si>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</si>
  <si>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</si>
  <si>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</si>
  <si>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</si>
  <si>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</si>
  <si>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</si>
  <si>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</si>
  <si>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</si>
  <si>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</si>
  <si>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</si>
  <si>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</si>
  <si>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</si>
  <si>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</si>
  <si>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</si>
  <si>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</si>
  <si>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</si>
  <si>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</si>
  <si>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</si>
  <si>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</si>
  <si>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</si>
  <si>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</si>
  <si>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</si>
  <si>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</si>
  <si>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</si>
  <si>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</si>
  <si>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</si>
  <si>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</si>
  <si>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</si>
  <si>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</si>
  <si>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</si>
  <si>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</si>
  <si>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</si>
  <si>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</si>
  <si>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</si>
  <si>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</si>
  <si>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</si>
  <si>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</si>
  <si>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</si>
  <si>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</si>
  <si>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</si>
  <si>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</si>
  <si>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</si>
  <si>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</si>
  <si>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</si>
  <si>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</si>
  <si>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</si>
  <si>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</si>
  <si>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</si>
  <si>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</si>
  <si>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</si>
  <si>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</si>
  <si>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</si>
  <si>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</si>
  <si>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</si>
  <si>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</si>
  <si>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</si>
  <si>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</si>
  <si>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</si>
  <si>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</si>
  <si>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</si>
  <si>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</si>
  <si>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</si>
  <si>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</si>
  <si>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</si>
  <si>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</si>
  <si>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</si>
  <si>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</si>
  <si>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</si>
  <si>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</si>
  <si>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</si>
  <si>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</si>
  <si>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</si>
  <si>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</si>
  <si>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</si>
  <si>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</si>
  <si>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</si>
  <si>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</si>
  <si>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</si>
  <si>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</si>
  <si>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</si>
  <si>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</si>
  <si>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</si>
  <si>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</si>
  <si>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</si>
  <si>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</si>
  <si>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</si>
  <si>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</si>
  <si>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</si>
  <si>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</si>
  <si>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</si>
  <si>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</si>
  <si>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</si>
  <si>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</si>
  <si>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</si>
  <si>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</si>
  <si>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</si>
  <si>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</si>
  <si>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</si>
  <si>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</si>
  <si>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</si>
  <si>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</si>
  <si>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</si>
  <si>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</si>
  <si>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</si>
  <si>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</si>
  <si>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</si>
  <si>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</si>
  <si>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</si>
  <si>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</si>
  <si>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</si>
  <si>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</si>
  <si>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</si>
  <si>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</si>
  <si>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</si>
  <si>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</si>
  <si>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</si>
  <si>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</si>
  <si>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</si>
  <si>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</si>
  <si>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</si>
  <si>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</si>
  <si>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</si>
  <si>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</si>
  <si>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</si>
  <si>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</si>
  <si>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</si>
  <si>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</si>
  <si>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</si>
  <si>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</si>
  <si>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</si>
  <si>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</si>
  <si>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</si>
  <si>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</si>
  <si>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</si>
  <si>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</si>
  <si>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</si>
  <si>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</si>
  <si>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</si>
  <si>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</si>
  <si>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</si>
  <si>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</si>
  <si>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</si>
  <si>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</si>
  <si>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</si>
  <si>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</si>
  <si>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</si>
  <si>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</si>
  <si>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</si>
  <si>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</si>
  <si>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</si>
  <si>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</si>
  <si>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</si>
  <si>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</si>
  <si>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</si>
  <si>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</si>
  <si>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</si>
  <si>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</si>
  <si>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</si>
  <si>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</si>
  <si>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</si>
  <si>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</si>
  <si>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</si>
  <si>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</si>
  <si>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</si>
  <si>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</si>
  <si>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</si>
  <si>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</si>
  <si>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</si>
  <si>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</si>
  <si>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</si>
  <si>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</si>
  <si>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</si>
  <si>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</si>
  <si>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</si>
  <si>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</si>
  <si>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</si>
  <si>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</si>
  <si>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</si>
  <si>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</si>
  <si>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</si>
  <si>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</si>
  <si>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</si>
  <si>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</si>
  <si>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</si>
  <si>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</si>
  <si>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</si>
  <si>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</si>
  <si>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</si>
  <si>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</si>
  <si>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</si>
  <si>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</si>
  <si>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</si>
  <si>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</si>
  <si>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</si>
  <si>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</si>
  <si>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</si>
  <si>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</si>
  <si>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</si>
  <si>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</si>
  <si>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</si>
  <si>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</si>
  <si>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</si>
  <si>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</si>
  <si>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</si>
  <si>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</si>
  <si>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</si>
  <si>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</si>
  <si>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</si>
  <si>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</si>
  <si>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</si>
  <si>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</si>
  <si>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</si>
  <si>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</si>
  <si>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</si>
  <si>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</si>
  <si>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</si>
  <si>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</si>
  <si>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</si>
  <si>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</si>
  <si>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</si>
  <si>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</si>
  <si>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</si>
  <si>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</si>
  <si>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</si>
  <si>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</si>
  <si>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</si>
  <si>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</si>
  <si>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</si>
  <si>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</si>
  <si>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</si>
  <si>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</si>
  <si>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</si>
  <si>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</si>
  <si>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</si>
  <si>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</si>
  <si>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</si>
  <si>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</si>
  <si>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</si>
  <si>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</si>
  <si>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</si>
  <si>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</si>
  <si>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</si>
  <si>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</si>
  <si>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</si>
  <si>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</si>
  <si>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</si>
  <si>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</si>
  <si>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</si>
  <si>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</si>
  <si>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</si>
  <si>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</si>
  <si>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</si>
  <si>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</si>
  <si>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</si>
  <si>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</si>
  <si>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</si>
  <si>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</si>
  <si>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</si>
  <si>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</si>
  <si>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</si>
  <si>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</si>
  <si>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</si>
  <si>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</si>
  <si>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</si>
  <si>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</si>
  <si>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</si>
  <si>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</si>
  <si>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</si>
  <si>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</si>
  <si>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</si>
  <si>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</si>
  <si>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</si>
  <si>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</si>
  <si>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</si>
  <si>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</si>
  <si>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</si>
  <si>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</si>
  <si>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</si>
  <si>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</si>
  <si>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</si>
  <si>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</si>
  <si>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</si>
  <si>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</si>
  <si>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</si>
  <si>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</si>
  <si>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</si>
  <si>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</si>
  <si>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</si>
  <si>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</si>
  <si>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</si>
  <si>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</si>
  <si>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</si>
  <si>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</si>
  <si>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</si>
  <si>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</si>
  <si>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</si>
  <si>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</si>
  <si>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</si>
  <si>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</si>
  <si>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</si>
  <si>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</si>
  <si>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</si>
  <si>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</si>
  <si>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</si>
  <si>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</si>
  <si>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</si>
  <si>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</si>
  <si>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</si>
  <si>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</si>
  <si>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</si>
  <si>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</si>
  <si>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</si>
  <si>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</si>
  <si>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</si>
  <si>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</si>
  <si>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</si>
  <si>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</si>
  <si>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</si>
  <si>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</si>
  <si>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</si>
  <si>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</si>
  <si>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</si>
  <si>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</si>
  <si>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</si>
  <si>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</si>
  <si>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</si>
  <si>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</si>
  <si>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</si>
  <si>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</si>
  <si>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</si>
  <si>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</si>
  <si>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</si>
  <si>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</si>
  <si>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</si>
  <si>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</si>
  <si>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</si>
  <si>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</si>
  <si>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</si>
  <si>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</si>
  <si>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</si>
  <si>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</si>
  <si>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</si>
  <si>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</si>
  <si>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</si>
  <si>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</si>
  <si>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</si>
  <si>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</si>
  <si>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</si>
  <si>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</si>
  <si>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</si>
  <si>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</si>
  <si>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</si>
  <si>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</si>
  <si>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</si>
  <si>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</si>
  <si>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</si>
  <si>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</si>
  <si>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</si>
  <si>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</si>
  <si>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</si>
  <si>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</si>
  <si>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</si>
  <si>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</si>
  <si>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</si>
  <si>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</si>
  <si>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</si>
  <si>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</si>
  <si>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</si>
  <si>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</si>
  <si>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</si>
  <si>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</si>
  <si>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</si>
  <si>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</si>
  <si>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</si>
  <si>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</si>
  <si>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</si>
  <si>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</si>
  <si>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</si>
  <si>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</si>
  <si>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</si>
  <si>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</si>
  <si>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</si>
  <si>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</si>
  <si>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</si>
  <si>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</si>
  <si>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</si>
  <si>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</si>
  <si>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</si>
  <si>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</si>
  <si>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</si>
  <si>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</si>
  <si>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</si>
  <si>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</si>
  <si>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</si>
  <si>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</si>
  <si>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</si>
  <si>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</si>
  <si>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</si>
  <si>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</si>
  <si>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</si>
  <si>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</si>
  <si>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</si>
  <si>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</si>
  <si>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</si>
  <si>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</si>
  <si>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</si>
  <si>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</si>
  <si>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</si>
  <si>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</si>
  <si>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</si>
  <si>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</si>
  <si>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</si>
  <si>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</si>
  <si>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</si>
  <si>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</si>
  <si>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</si>
  <si>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</si>
  <si>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</si>
  <si>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</si>
  <si>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</si>
  <si>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</si>
  <si>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</si>
  <si>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</si>
  <si>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</si>
  <si>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</si>
  <si>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</si>
  <si>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</si>
  <si>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</si>
  <si>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</si>
  <si>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</si>
  <si>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</si>
  <si>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</si>
  <si>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</si>
  <si>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</si>
  <si>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</si>
  <si>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</si>
  <si>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</si>
  <si>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</si>
  <si>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</si>
  <si>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</si>
  <si>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</si>
  <si>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</si>
  <si>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</si>
  <si>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</si>
  <si>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</si>
  <si>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</si>
  <si>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</si>
  <si>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</si>
  <si>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</si>
  <si>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</si>
  <si>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</si>
  <si>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</si>
  <si>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</si>
  <si>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</si>
  <si>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</si>
  <si>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</si>
  <si>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</si>
  <si>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</si>
  <si>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</si>
  <si>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</si>
  <si>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</si>
  <si>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</si>
  <si>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</si>
  <si>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</si>
  <si>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</si>
  <si>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</si>
  <si>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</si>
  <si>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</si>
  <si>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</si>
  <si>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</si>
  <si>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</si>
  <si>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</si>
  <si>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</si>
  <si>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</si>
  <si>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</si>
  <si>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</si>
  <si>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</si>
  <si>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</si>
  <si>
    <t>Crew</t>
  </si>
  <si>
    <t>Plot</t>
  </si>
  <si>
    <t>Date</t>
  </si>
  <si>
    <t>cm upper</t>
  </si>
  <si>
    <t>in upper</t>
  </si>
  <si>
    <t>Seedlings (Height)</t>
  </si>
  <si>
    <t>Saplings (DBH)</t>
  </si>
  <si>
    <t>Trees (DBH)</t>
  </si>
  <si>
    <t>Count</t>
  </si>
  <si>
    <t>Project</t>
  </si>
  <si>
    <t>Max Height</t>
  </si>
  <si>
    <t>Plot Size (sq m)</t>
  </si>
  <si>
    <t>T (%)</t>
  </si>
  <si>
    <t>S (%)</t>
  </si>
  <si>
    <t>H (%)</t>
  </si>
  <si>
    <t>Bare Ground</t>
  </si>
  <si>
    <t>Herb Coverage</t>
  </si>
  <si>
    <t>Canopy Coverage</t>
  </si>
  <si>
    <t>Liriodendron tulipifera</t>
  </si>
  <si>
    <t>Tulip Poplar</t>
  </si>
  <si>
    <t>unbounded</t>
  </si>
  <si>
    <t>Trees in Plot</t>
  </si>
  <si>
    <t>Stems/ac</t>
  </si>
  <si>
    <t>Mean DBH (in)</t>
  </si>
  <si>
    <t>avg</t>
  </si>
  <si>
    <t>n</t>
  </si>
  <si>
    <t>Seedlings</t>
  </si>
  <si>
    <t>Saplings</t>
  </si>
  <si>
    <t>Trees</t>
  </si>
  <si>
    <t>--</t>
  </si>
  <si>
    <t>Mixed Grasses</t>
  </si>
  <si>
    <t>Unaccounted Herb</t>
  </si>
  <si>
    <t>Species Name</t>
  </si>
  <si>
    <t>Seedlings - Height Class</t>
  </si>
  <si>
    <t>Saplings - DBH</t>
  </si>
  <si>
    <t>Trees - DBH</t>
  </si>
  <si>
    <t>10-50cm 3.9-19.7in</t>
  </si>
  <si>
    <t>50-100cm 19.7-39.4in</t>
  </si>
  <si>
    <t>100-137cm 39.4-53.9in</t>
  </si>
  <si>
    <t>0-1cm 0-0.4in</t>
  </si>
  <si>
    <t>1-2.5cm 0.4-1.0in</t>
  </si>
  <si>
    <t>2.5-5cm 1.0-2.0in</t>
  </si>
  <si>
    <t>5-10cm 2.0-3.9in</t>
  </si>
  <si>
    <t>10-15cm 3.9-5.9in</t>
  </si>
  <si>
    <t>15-20cm 5.9-7.9in</t>
  </si>
  <si>
    <t>20-25cm 7.9-9.8in</t>
  </si>
  <si>
    <t>25-30cm 9.8-11.8in</t>
  </si>
  <si>
    <t>30-35cm 11.8-13.8in</t>
  </si>
  <si>
    <t>35-40cm 13.8-15.7in</t>
  </si>
  <si>
    <t>&gt;40cm &gt;15.7in</t>
  </si>
  <si>
    <t>Total</t>
  </si>
  <si>
    <t>Strata</t>
  </si>
  <si>
    <t>Species Name</t>
  </si>
  <si>
    <t>Invasive</t>
  </si>
  <si>
    <t>Modules</t>
  </si>
  <si>
    <t>T</t>
  </si>
  <si>
    <t>S</t>
  </si>
  <si>
    <t>H</t>
  </si>
  <si>
    <t>(F)</t>
  </si>
  <si>
    <t>(A)</t>
  </si>
  <si>
    <t>Cover: trace=1; 0-1%=2; 1-2%=3; 2-5%=4; 5-10%=5; 10-25%=6; 25-50%=7; 50-75%=8; 75-95%=9; 95-100%=*</t>
  </si>
  <si>
    <t>Stems / ac</t>
  </si>
  <si>
    <t>Average DBH by Class (in)</t>
  </si>
  <si>
    <t>Average DBH (in)</t>
  </si>
  <si>
    <t>Notes:</t>
  </si>
  <si>
    <t>TEST PROJECT</t>
  </si>
  <si>
    <t>VP1</t>
  </si>
  <si>
    <t>SJ, 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</si>
</sst>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7">
    <xf numFmtId="0" fontId="0" fillId="0" borderId="0" xfId="0"/>
    <xf numFmtId="0" fontId="1" fillId="0" borderId="0" xfId="0" applyFont="1" applyBorder="1" applyAlignment="1">
      <alignment horizontal="center" vertical="top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2" xfId="0" applyBorder="1" applyAlignment="1">
      <alignment horizontal="left"/>
    </xf>
    <xf numFmtId="9" fontId="1" fillId="0" borderId="2" xfId="0" applyNumberFormat="1" applyFont="1" applyBorder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9" fontId="1" fillId="0" borderId="3" xfId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49" fontId="7" fillId="0" borderId="12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49" fontId="7" fillId="0" borderId="22" xfId="0" applyNumberFormat="1" applyFont="1" applyBorder="1" applyAlignment="1">
      <alignment horizontal="center" vertical="center" wrapText="1"/>
    </xf>
    <xf numFmtId="49" fontId="7" fillId="0" borderId="23" xfId="0" applyNumberFormat="1" applyFont="1" applyBorder="1" applyAlignment="1">
      <alignment horizontal="center" vertical="center" wrapText="1"/>
    </xf>
    <xf numFmtId="49" fontId="7" fillId="0" borderId="24" xfId="0" applyNumberFormat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/>
    </xf>
    <xf numFmtId="0" fontId="7" fillId="0" borderId="2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7" fillId="0" borderId="2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/>
    <xf numFmtId="49" fontId="7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vertical="center"/>
    </xf>
    <xf numFmtId="164" fontId="6" fillId="0" borderId="0" xfId="0" applyNumberFormat="1" applyFont="1" applyFill="1" applyBorder="1" applyAlignment="1">
      <alignment vertical="center"/>
    </xf>
    <xf numFmtId="0" fontId="10" fillId="0" borderId="16" xfId="0" applyFont="1" applyFill="1" applyBorder="1" applyAlignment="1"/>
    <xf numFmtId="0" fontId="11" fillId="0" borderId="18" xfId="0" applyFont="1" applyFill="1" applyBorder="1" applyAlignment="1"/>
    <xf numFmtId="0" fontId="11" fillId="0" borderId="19" xfId="0" applyFont="1" applyFill="1" applyBorder="1" applyAlignment="1"/>
    <xf numFmtId="0" fontId="13" fillId="3" borderId="43" xfId="0" applyFont="1" applyFill="1" applyBorder="1" applyAlignment="1">
      <alignment horizontal="center" vertical="center" wrapText="1"/>
    </xf>
    <xf numFmtId="0" fontId="12" fillId="0" borderId="44" xfId="0" applyFont="1" applyFill="1" applyBorder="1" applyAlignment="1">
      <alignment horizontal="center" vertical="center" wrapText="1"/>
    </xf>
    <xf numFmtId="0" fontId="12" fillId="0" borderId="45" xfId="0" applyFont="1" applyFill="1" applyBorder="1" applyAlignment="1">
      <alignment horizontal="center" vertical="center" wrapText="1"/>
    </xf>
    <xf numFmtId="0" fontId="12" fillId="0" borderId="46" xfId="0" applyFont="1" applyFill="1" applyBorder="1" applyAlignment="1">
      <alignment horizontal="center" vertical="center" wrapText="1"/>
    </xf>
    <xf numFmtId="0" fontId="12" fillId="0" borderId="47" xfId="0" applyFont="1" applyFill="1" applyBorder="1" applyAlignment="1">
      <alignment vertical="center" wrapText="1"/>
    </xf>
    <xf numFmtId="0" fontId="7" fillId="0" borderId="44" xfId="0" applyFont="1" applyFill="1" applyBorder="1" applyAlignment="1">
      <alignment horizontal="center" vertical="center" wrapText="1"/>
    </xf>
    <xf numFmtId="0" fontId="7" fillId="0" borderId="45" xfId="0" applyFont="1" applyFill="1" applyBorder="1" applyAlignment="1">
      <alignment horizontal="center" vertical="center" wrapText="1"/>
    </xf>
    <xf numFmtId="0" fontId="7" fillId="0" borderId="46" xfId="0" applyFont="1" applyFill="1" applyBorder="1" applyAlignment="1">
      <alignment horizontal="center" vertical="center" wrapText="1"/>
    </xf>
    <xf numFmtId="0" fontId="0" fillId="0" borderId="48" xfId="0" applyFont="1" applyFill="1" applyBorder="1" applyAlignment="1">
      <alignment horizontal="center" vertical="center" wrapText="1"/>
    </xf>
    <xf numFmtId="0" fontId="0" fillId="0" borderId="49" xfId="0" applyFont="1" applyFill="1" applyBorder="1" applyAlignment="1">
      <alignment horizontal="center" vertical="center" wrapText="1"/>
    </xf>
    <xf numFmtId="0" fontId="0" fillId="0" borderId="5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 vertical="center" wrapText="1"/>
    </xf>
    <xf numFmtId="0" fontId="0" fillId="0" borderId="55" xfId="0" applyFont="1" applyFill="1" applyBorder="1" applyAlignment="1">
      <alignment horizontal="center" vertical="center" wrapText="1"/>
    </xf>
    <xf numFmtId="0" fontId="0" fillId="0" borderId="56" xfId="0" applyFont="1" applyFill="1" applyBorder="1" applyAlignment="1">
      <alignment horizontal="center" vertical="center" wrapText="1"/>
    </xf>
    <xf numFmtId="0" fontId="0" fillId="0" borderId="57" xfId="0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 wrapText="1"/>
    </xf>
    <xf numFmtId="0" fontId="0" fillId="0" borderId="59" xfId="0" applyFont="1" applyFill="1" applyBorder="1" applyAlignment="1">
      <alignment horizontal="center" vertical="center" wrapText="1"/>
    </xf>
    <xf numFmtId="0" fontId="7" fillId="0" borderId="60" xfId="0" applyFont="1" applyFill="1" applyBorder="1" applyAlignment="1">
      <alignment horizontal="left" vertical="center" wrapText="1"/>
    </xf>
    <xf numFmtId="0" fontId="0" fillId="0" borderId="61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 wrapText="1"/>
    </xf>
    <xf numFmtId="0" fontId="0" fillId="0" borderId="63" xfId="0" applyFont="1" applyFill="1" applyBorder="1" applyAlignment="1">
      <alignment horizontal="center" vertical="center" wrapText="1"/>
    </xf>
    <xf numFmtId="0" fontId="0" fillId="0" borderId="64" xfId="0" applyFont="1" applyFill="1" applyBorder="1" applyAlignment="1">
      <alignment horizontal="center" vertical="center" wrapText="1"/>
    </xf>
    <xf numFmtId="0" fontId="0" fillId="0" borderId="65" xfId="0" applyFont="1" applyFill="1" applyBorder="1" applyAlignment="1">
      <alignment horizontal="center" vertical="center" wrapText="1"/>
    </xf>
    <xf numFmtId="0" fontId="0" fillId="0" borderId="66" xfId="0" applyFont="1" applyFill="1" applyBorder="1" applyAlignment="1">
      <alignment horizontal="center" vertical="center" wrapText="1"/>
    </xf>
    <xf numFmtId="0" fontId="0" fillId="0" borderId="67" xfId="0" applyFont="1" applyFill="1" applyBorder="1" applyAlignment="1">
      <alignment horizontal="center" vertical="center" wrapText="1"/>
    </xf>
    <xf numFmtId="0" fontId="0" fillId="0" borderId="68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 wrapText="1"/>
    </xf>
    <xf numFmtId="0" fontId="0" fillId="0" borderId="70" xfId="0" applyFont="1" applyFill="1" applyBorder="1" applyAlignment="1">
      <alignment horizontal="center" vertical="center" wrapText="1"/>
    </xf>
    <xf numFmtId="0" fontId="0" fillId="0" borderId="71" xfId="0" applyFont="1" applyFill="1" applyBorder="1" applyAlignment="1">
      <alignment horizontal="center" vertical="center" wrapText="1"/>
    </xf>
    <xf numFmtId="0" fontId="0" fillId="0" borderId="72" xfId="0" applyFont="1" applyFill="1" applyBorder="1" applyAlignment="1">
      <alignment horizontal="center" vertical="center" wrapText="1"/>
    </xf>
    <xf numFmtId="0" fontId="0" fillId="0" borderId="73" xfId="0" applyFont="1" applyFill="1" applyBorder="1" applyAlignment="1">
      <alignment horizontal="center" vertical="center" wrapText="1"/>
    </xf>
    <xf numFmtId="0" fontId="0" fillId="0" borderId="74" xfId="0" applyFont="1" applyFill="1" applyBorder="1" applyAlignment="1">
      <alignment horizontal="center" vertical="center" wrapText="1"/>
    </xf>
    <xf numFmtId="0" fontId="0" fillId="0" borderId="75" xfId="0" applyFont="1" applyFill="1" applyBorder="1" applyAlignment="1">
      <alignment horizontal="center" vertical="center" wrapText="1"/>
    </xf>
    <xf numFmtId="0" fontId="7" fillId="0" borderId="76" xfId="0" applyFont="1" applyFill="1" applyBorder="1" applyAlignment="1">
      <alignment horizontal="left" vertical="center" wrapText="1"/>
    </xf>
    <xf numFmtId="0" fontId="0" fillId="0" borderId="77" xfId="0" applyFont="1" applyFill="1" applyBorder="1" applyAlignment="1">
      <alignment horizontal="center" vertical="center" wrapText="1"/>
    </xf>
    <xf numFmtId="0" fontId="0" fillId="0" borderId="78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left"/>
    </xf>
    <xf numFmtId="14" fontId="0" fillId="0" borderId="2" xfId="0" quotePrefix="1" applyNumberForma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7" fillId="2" borderId="9" xfId="0" applyFont="1" applyFill="1" applyBorder="1"/>
    <xf numFmtId="0" fontId="17" fillId="2" borderId="6" xfId="0" applyFont="1" applyFill="1" applyBorder="1"/>
    <xf numFmtId="0" fontId="1" fillId="0" borderId="11" xfId="0" applyFont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0" xfId="1" applyFont="1" applyAlignment="1">
      <alignment horizontal="right"/>
    </xf>
    <xf numFmtId="9" fontId="0" fillId="0" borderId="0" xfId="1" applyFont="1" applyAlignment="1">
      <alignment horizontal="center"/>
    </xf>
    <xf numFmtId="9" fontId="0" fillId="0" borderId="5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7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9" fontId="0" fillId="0" borderId="79" xfId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0" xfId="0" applyAlignment="1">
      <alignment horizontal="right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16" xfId="0" applyFont="1" applyBorder="1" applyAlignment="1">
      <alignment horizontal="right" vertical="center"/>
    </xf>
    <xf numFmtId="0" fontId="6" fillId="0" borderId="18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/>
    </xf>
    <xf numFmtId="164" fontId="6" fillId="0" borderId="16" xfId="0" applyNumberFormat="1" applyFont="1" applyFill="1" applyBorder="1" applyAlignment="1">
      <alignment horizontal="center" vertical="center"/>
    </xf>
    <xf numFmtId="164" fontId="6" fillId="0" borderId="18" xfId="0" applyNumberFormat="1" applyFont="1" applyFill="1" applyBorder="1" applyAlignment="1">
      <alignment horizontal="center" vertical="center"/>
    </xf>
    <xf numFmtId="164" fontId="6" fillId="0" borderId="19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right"/>
    </xf>
    <xf numFmtId="0" fontId="6" fillId="0" borderId="36" xfId="0" applyFont="1" applyBorder="1" applyAlignment="1">
      <alignment horizontal="right"/>
    </xf>
    <xf numFmtId="0" fontId="6" fillId="0" borderId="39" xfId="0" applyFont="1" applyFill="1" applyBorder="1" applyAlignment="1">
      <alignment horizontal="right"/>
    </xf>
    <xf numFmtId="0" fontId="6" fillId="0" borderId="37" xfId="0" applyFont="1" applyFill="1" applyBorder="1" applyAlignment="1">
      <alignment horizontal="right"/>
    </xf>
    <xf numFmtId="0" fontId="6" fillId="0" borderId="40" xfId="0" applyFont="1" applyFill="1" applyBorder="1" applyAlignment="1">
      <alignment horizontal="right"/>
    </xf>
    <xf numFmtId="164" fontId="7" fillId="0" borderId="41" xfId="0" applyNumberFormat="1" applyFont="1" applyBorder="1" applyAlignment="1">
      <alignment horizontal="center" vertical="center"/>
    </xf>
    <xf numFmtId="164" fontId="7" fillId="0" borderId="42" xfId="0" applyNumberFormat="1" applyFont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left" vertical="center" shrinkToFit="1"/>
    </xf>
    <xf numFmtId="1" fontId="15" fillId="0" borderId="31" xfId="0" applyNumberFormat="1" applyFont="1" applyFill="1" applyBorder="1" applyAlignment="1">
      <alignment horizontal="left" vertical="center" shrinkToFit="1"/>
    </xf>
    <xf numFmtId="1" fontId="15" fillId="0" borderId="32" xfId="0" applyNumberFormat="1" applyFont="1" applyFill="1" applyBorder="1" applyAlignment="1">
      <alignment horizontal="left" vertical="center" shrinkToFit="1"/>
    </xf>
    <xf numFmtId="1" fontId="15" fillId="0" borderId="27" xfId="0" applyNumberFormat="1" applyFont="1" applyFill="1" applyBorder="1" applyAlignment="1">
      <alignment horizontal="left" vertical="center" shrinkToFit="1"/>
    </xf>
    <xf numFmtId="1" fontId="15" fillId="0" borderId="11" xfId="0" applyNumberFormat="1" applyFont="1" applyFill="1" applyBorder="1" applyAlignment="1">
      <alignment horizontal="left" vertical="center" shrinkToFit="1"/>
    </xf>
    <xf numFmtId="1" fontId="15" fillId="0" borderId="28" xfId="0" applyNumberFormat="1" applyFont="1" applyFill="1" applyBorder="1" applyAlignment="1">
      <alignment horizontal="left" vertical="center" shrinkToFit="1"/>
    </xf>
    <xf numFmtId="0" fontId="12" fillId="0" borderId="16" xfId="0" applyFont="1" applyFill="1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1" fontId="14" fillId="0" borderId="35" xfId="0" applyNumberFormat="1" applyFont="1" applyFill="1" applyBorder="1" applyAlignment="1">
      <alignment horizontal="left" vertical="center" shrinkToFit="1"/>
    </xf>
    <xf numFmtId="1" fontId="14" fillId="0" borderId="41" xfId="0" applyNumberFormat="1" applyFont="1" applyFill="1" applyBorder="1" applyAlignment="1">
      <alignment horizontal="left" vertical="center" shrinkToFit="1"/>
    </xf>
    <xf numFmtId="1" fontId="15" fillId="0" borderId="52" xfId="0" applyNumberFormat="1" applyFont="1" applyFill="1" applyBorder="1" applyAlignment="1">
      <alignment horizontal="left" vertical="center" shrinkToFit="1"/>
    </xf>
    <xf numFmtId="1" fontId="15" fillId="0" borderId="53" xfId="0" applyNumberFormat="1" applyFont="1" applyFill="1" applyBorder="1" applyAlignment="1">
      <alignment horizontal="left" vertical="center" shrinkToFit="1"/>
    </xf>
    <xf numFmtId="1" fontId="15" fillId="0" borderId="54" xfId="0" applyNumberFormat="1" applyFont="1" applyFill="1" applyBorder="1" applyAlignment="1">
      <alignment horizontal="left" vertical="center" shrinkToFit="1"/>
    </xf>
  </cellXfs>
  <cellStyles count="2">
    <cellStyle name="Normal" xfId="0" builtinId="0"/>
    <cellStyle name="Percent" xfId="1" builtinId="5"/>
  </cellStyles>
  <dxfs count="8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6350</xdr:rowOff>
        </xdr:from>
        <xdr:to>
          <xdr:col>12</xdr:col>
          <xdr:colOff>571500</xdr:colOff>
          <xdr:row>0</xdr:row>
          <xdr:rowOff>254000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31750</xdr:rowOff>
        </xdr:from>
        <xdr:to>
          <xdr:col>5</xdr:col>
          <xdr:colOff>266700</xdr:colOff>
          <xdr:row>1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107950</xdr:rowOff>
        </xdr:from>
        <xdr:to>
          <xdr:col>5</xdr:col>
          <xdr:colOff>266700</xdr:colOff>
          <xdr:row>2</xdr:row>
          <xdr:rowOff>146050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Trees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0"/>
  <sheetViews>
    <sheetView zoomScale="68" zoomScaleNormal="68" workbookViewId="0">
      <pane xSplit="4" ySplit="5" topLeftCell="E6" activePane="bottomRight" state="frozen"/>
      <selection activeCell="H14" sqref="H14:M14"/>
      <selection pane="topRight" activeCell="H14" sqref="H14:M14"/>
      <selection pane="bottomLeft" activeCell="H14" sqref="H14:M14"/>
      <selection pane="bottomRight" activeCell="M16" sqref="M16"/>
    </sheetView>
  </sheetViews>
  <sheetFormatPr defaultRowHeight="14.5" x14ac:dyDescent="0.35"/>
  <cols>
    <col min="1" max="1" width="17.453125" style="10" customWidth="1"/>
    <col min="2" max="2" width="23.08984375" style="11" customWidth="1"/>
    <col min="3" max="3" width="16.54296875" style="14" customWidth="1"/>
    <col min="4" max="4" width="1.453125" style="129" customWidth="1"/>
    <col min="5" max="5" width="10.7265625" customWidth="1"/>
    <col min="7" max="7" width="11" customWidth="1"/>
    <col min="9" max="9" width="11.26953125" customWidth="1"/>
    <col min="19" max="19" width="11.54296875" customWidth="1"/>
    <col min="21" max="21" width="10.1796875" customWidth="1"/>
    <col min="22" max="22" width="9.36328125" customWidth="1"/>
  </cols>
  <sheetData>
    <row r="1" spans="1:27" ht="21" customHeight="1" x14ac:dyDescent="0.35">
      <c r="A1" s="27" t="s">
        <v>11854</v>
      </c>
      <c r="B1" s="17" t="s">
        <v>11910</v>
      </c>
      <c r="C1" s="10" t="s">
        <v>11856</v>
      </c>
      <c r="E1" s="30" t="s">
        <v>11866</v>
      </c>
      <c r="F1" s="131">
        <f>SUM(F5:S5)</f>
        <v>0</v>
      </c>
      <c r="G1" s="29" t="s">
        <v>11867</v>
      </c>
      <c r="H1" s="33">
        <f>SUM(F5:R5)/0.0247105/(C2/100)</f>
        <v>0</v>
      </c>
      <c r="I1" s="30" t="s">
        <v>11868</v>
      </c>
      <c r="J1" s="32" t="str">
        <f>IFERROR(SUMPRODUCT(I5:S5,I4:S4)/SUM(I5:S5),"n/a")</f>
        <v>n/a</v>
      </c>
      <c r="N1" s="146" t="s">
        <v>11909</v>
      </c>
    </row>
    <row r="2" spans="1:27" x14ac:dyDescent="0.35">
      <c r="A2" s="27" t="s">
        <v>11846</v>
      </c>
      <c r="B2" s="124" t="s">
        <v>11911</v>
      </c>
      <c r="C2" s="26">
        <v>200</v>
      </c>
      <c r="E2" s="2"/>
      <c r="F2" s="148" t="s">
        <v>11850</v>
      </c>
      <c r="G2" s="148"/>
      <c r="H2" s="148"/>
      <c r="I2" s="149" t="s">
        <v>11851</v>
      </c>
      <c r="J2" s="150"/>
      <c r="K2" s="148" t="s">
        <v>11852</v>
      </c>
      <c r="L2" s="148"/>
      <c r="M2" s="148"/>
      <c r="N2" s="148"/>
      <c r="O2" s="148"/>
      <c r="P2" s="148"/>
      <c r="Q2" s="148"/>
      <c r="R2" s="148"/>
      <c r="S2" s="148"/>
      <c r="U2" s="30"/>
      <c r="V2" s="30" t="s">
        <v>11871</v>
      </c>
      <c r="W2" s="30" t="s">
        <v>11872</v>
      </c>
      <c r="X2" s="30" t="s">
        <v>11873</v>
      </c>
    </row>
    <row r="3" spans="1:27" x14ac:dyDescent="0.35">
      <c r="A3" s="28" t="s">
        <v>11845</v>
      </c>
      <c r="B3" s="17" t="s">
        <v>11912</v>
      </c>
      <c r="C3" s="13" t="s">
        <v>11855</v>
      </c>
      <c r="E3" s="4" t="s">
        <v>11848</v>
      </c>
      <c r="F3" s="3">
        <v>50</v>
      </c>
      <c r="G3" s="4">
        <v>100</v>
      </c>
      <c r="H3" s="5">
        <v>137</v>
      </c>
      <c r="I3" s="3">
        <v>1</v>
      </c>
      <c r="J3" s="5">
        <v>2.5</v>
      </c>
      <c r="K3" s="3">
        <v>5</v>
      </c>
      <c r="L3" s="4">
        <v>10</v>
      </c>
      <c r="M3" s="4">
        <v>15</v>
      </c>
      <c r="N3" s="4">
        <v>20</v>
      </c>
      <c r="O3" s="4">
        <v>25</v>
      </c>
      <c r="P3" s="4">
        <v>30</v>
      </c>
      <c r="Q3" s="4">
        <v>35</v>
      </c>
      <c r="R3" s="30">
        <v>40</v>
      </c>
      <c r="S3" s="134" t="s">
        <v>11865</v>
      </c>
      <c r="U3" s="30" t="s">
        <v>11870</v>
      </c>
      <c r="V3" s="33">
        <f>SUM(F5:H5)</f>
        <v>0</v>
      </c>
      <c r="W3" s="33">
        <f>SUM(I5:J5)</f>
        <v>0</v>
      </c>
      <c r="X3" s="33">
        <f>SUM(K5:S5)</f>
        <v>0</v>
      </c>
    </row>
    <row r="4" spans="1:27" x14ac:dyDescent="0.35">
      <c r="A4" s="27" t="s">
        <v>11847</v>
      </c>
      <c r="B4" s="125">
        <v>43601</v>
      </c>
      <c r="C4" s="26">
        <v>0</v>
      </c>
      <c r="E4" s="4" t="s">
        <v>11849</v>
      </c>
      <c r="F4" s="6">
        <f>F3*0.393701</f>
        <v>19.68505</v>
      </c>
      <c r="G4" s="7">
        <f t="shared" ref="G4:R4" si="0">G3*0.393701</f>
        <v>39.370100000000001</v>
      </c>
      <c r="H4" s="8">
        <f t="shared" si="0"/>
        <v>53.937037000000004</v>
      </c>
      <c r="I4" s="6">
        <f t="shared" si="0"/>
        <v>0.39370100000000002</v>
      </c>
      <c r="J4" s="8">
        <f t="shared" si="0"/>
        <v>0.98425250000000009</v>
      </c>
      <c r="K4" s="6">
        <f t="shared" si="0"/>
        <v>1.9685050000000002</v>
      </c>
      <c r="L4" s="7">
        <f t="shared" si="0"/>
        <v>3.9370100000000003</v>
      </c>
      <c r="M4" s="7">
        <f t="shared" si="0"/>
        <v>5.9055150000000003</v>
      </c>
      <c r="N4" s="7">
        <f t="shared" si="0"/>
        <v>7.8740200000000007</v>
      </c>
      <c r="O4" s="7">
        <f t="shared" si="0"/>
        <v>9.8425250000000002</v>
      </c>
      <c r="P4" s="7">
        <f t="shared" si="0"/>
        <v>11.811030000000001</v>
      </c>
      <c r="Q4" s="7">
        <f t="shared" si="0"/>
        <v>13.779535000000001</v>
      </c>
      <c r="R4" s="8">
        <f t="shared" si="0"/>
        <v>15.748040000000001</v>
      </c>
      <c r="S4" s="147" t="str">
        <f>IF(ISERROR(AVERAGE(S6:AD100)),"unbounded",AVERAGE(S6:AD100))</f>
        <v>unbounded</v>
      </c>
      <c r="U4" s="30" t="s">
        <v>11869</v>
      </c>
      <c r="V4" s="31" t="str">
        <f>IFERROR(SUMPRODUCT(F5:H5,F4:H4)/V3,"n/a")</f>
        <v>n/a</v>
      </c>
      <c r="W4" s="31" t="str">
        <f>IFERROR(SUMPRODUCT(I5:J5,I4:J4)/W3,"n/a")</f>
        <v>n/a</v>
      </c>
      <c r="X4" s="31" t="str">
        <f>IFERROR(SUMPRODUCT(K5:S5,K4:S4)/X3,"n/a")</f>
        <v>n/a</v>
      </c>
    </row>
    <row r="5" spans="1:27" x14ac:dyDescent="0.35">
      <c r="A5" s="128" t="s">
        <v>2</v>
      </c>
      <c r="B5" s="23" t="s">
        <v>1</v>
      </c>
      <c r="C5" s="128" t="s">
        <v>11853</v>
      </c>
      <c r="E5" s="4"/>
      <c r="F5" s="22">
        <f>SUM(F6:F100)</f>
        <v>0</v>
      </c>
      <c r="G5" s="23">
        <f t="shared" ref="G5:R5" si="1">SUM(G6:G100)</f>
        <v>0</v>
      </c>
      <c r="H5" s="128">
        <f t="shared" si="1"/>
        <v>0</v>
      </c>
      <c r="I5" s="22">
        <f t="shared" si="1"/>
        <v>0</v>
      </c>
      <c r="J5" s="128">
        <f t="shared" si="1"/>
        <v>0</v>
      </c>
      <c r="K5" s="23">
        <f t="shared" si="1"/>
        <v>0</v>
      </c>
      <c r="L5" s="23">
        <f t="shared" si="1"/>
        <v>0</v>
      </c>
      <c r="M5" s="23">
        <f t="shared" si="1"/>
        <v>0</v>
      </c>
      <c r="N5" s="23">
        <f t="shared" si="1"/>
        <v>0</v>
      </c>
      <c r="O5" s="23">
        <f t="shared" si="1"/>
        <v>0</v>
      </c>
      <c r="P5" s="23">
        <f t="shared" si="1"/>
        <v>0</v>
      </c>
      <c r="Q5" s="23">
        <f t="shared" si="1"/>
        <v>0</v>
      </c>
      <c r="R5" s="23">
        <f t="shared" si="1"/>
        <v>0</v>
      </c>
      <c r="S5" s="128">
        <f>COUNT(S6:AD100)</f>
        <v>0</v>
      </c>
      <c r="T5" s="10"/>
      <c r="U5" s="10"/>
      <c r="V5" s="10"/>
      <c r="W5" s="10"/>
      <c r="X5" s="10"/>
      <c r="Y5" s="10"/>
      <c r="Z5" s="10"/>
      <c r="AA5" s="10"/>
    </row>
    <row r="6" spans="1:27" x14ac:dyDescent="0.35">
      <c r="A6" s="132"/>
      <c r="B6" s="11" t="str">
        <f>IF(ISBLANK(A6),"",INDEX(PlantList!B:B,MATCH(A6,PlantList!C:C,0)))</f>
        <v/>
      </c>
      <c r="C6" s="12" t="str">
        <f t="shared" ref="C6:C37" si="2">IF(ISBLANK(A6),"",SUM(F6:Q6)+COUNT(R6:AC6))</f>
        <v/>
      </c>
      <c r="D6" s="129" t="str">
        <f>IF(COUNT(S6:ZZ6)&gt;0,COUNT(S6:ZZ6),"")</f>
        <v/>
      </c>
      <c r="E6" s="10"/>
      <c r="F6" s="138"/>
      <c r="G6" s="138"/>
      <c r="H6" s="138"/>
      <c r="I6" s="139"/>
      <c r="J6" s="139"/>
      <c r="K6" s="140"/>
      <c r="L6" s="140"/>
      <c r="M6" s="140"/>
      <c r="N6" s="140"/>
      <c r="O6" s="140"/>
      <c r="P6" s="140"/>
      <c r="Q6" s="140"/>
      <c r="R6" s="140"/>
      <c r="S6" s="140"/>
      <c r="T6" s="10"/>
      <c r="U6" s="10"/>
      <c r="V6" s="10"/>
      <c r="W6" s="10"/>
      <c r="X6" s="10"/>
      <c r="Y6" s="10"/>
      <c r="Z6" s="10"/>
      <c r="AA6" s="10"/>
    </row>
    <row r="7" spans="1:27" x14ac:dyDescent="0.35">
      <c r="A7" s="132"/>
      <c r="B7" s="11" t="str">
        <f>IF(ISBLANK(A7),"",INDEX(PlantList!B:B,MATCH(A7,PlantList!C:C,0)))</f>
        <v/>
      </c>
      <c r="C7" s="12" t="str">
        <f t="shared" si="2"/>
        <v/>
      </c>
      <c r="D7" s="129" t="str">
        <f t="shared" ref="D7:D70" si="3">IF(COUNT(S7:ZZ7)&gt;0,COUNT(S7:ZZ7),"")</f>
        <v/>
      </c>
      <c r="E7" s="10"/>
      <c r="F7" s="138"/>
      <c r="G7" s="138"/>
      <c r="H7" s="138"/>
      <c r="I7" s="139"/>
      <c r="J7" s="139"/>
      <c r="K7" s="140"/>
      <c r="L7" s="140"/>
      <c r="M7" s="140"/>
      <c r="N7" s="140"/>
      <c r="O7" s="140"/>
      <c r="P7" s="140"/>
      <c r="Q7" s="140"/>
      <c r="R7" s="140"/>
      <c r="S7" s="140"/>
      <c r="T7" s="10"/>
      <c r="U7" s="10"/>
      <c r="V7" s="10"/>
      <c r="W7" s="10"/>
      <c r="X7" s="10"/>
      <c r="Y7" s="10"/>
      <c r="Z7" s="10"/>
      <c r="AA7" s="10"/>
    </row>
    <row r="8" spans="1:27" x14ac:dyDescent="0.35">
      <c r="A8" s="132"/>
      <c r="B8" s="11" t="str">
        <f>IF(ISBLANK(A8),"",INDEX(PlantList!B:B,MATCH(A8,PlantList!C:C,0)))</f>
        <v/>
      </c>
      <c r="C8" s="12" t="str">
        <f t="shared" si="2"/>
        <v/>
      </c>
      <c r="D8" s="129" t="str">
        <f t="shared" si="3"/>
        <v/>
      </c>
      <c r="E8" s="10"/>
      <c r="F8" s="138"/>
      <c r="G8" s="138"/>
      <c r="H8" s="138"/>
      <c r="I8" s="139"/>
      <c r="J8" s="139"/>
      <c r="K8" s="140"/>
      <c r="L8" s="140"/>
      <c r="M8" s="140"/>
      <c r="N8" s="140"/>
      <c r="O8" s="140"/>
      <c r="P8" s="140"/>
      <c r="Q8" s="140"/>
      <c r="R8" s="140"/>
      <c r="S8" s="140"/>
      <c r="T8" s="10"/>
      <c r="U8" s="10"/>
      <c r="V8" s="10"/>
      <c r="W8" s="10"/>
      <c r="X8" s="10"/>
      <c r="Y8" s="10"/>
      <c r="Z8" s="10"/>
      <c r="AA8" s="10"/>
    </row>
    <row r="9" spans="1:27" x14ac:dyDescent="0.35">
      <c r="A9" s="132"/>
      <c r="B9" s="11" t="str">
        <f>IF(ISBLANK(A9),"",INDEX(PlantList!B:B,MATCH(A9,PlantList!C:C,0)))</f>
        <v/>
      </c>
      <c r="C9" s="12" t="str">
        <f t="shared" si="2"/>
        <v/>
      </c>
      <c r="D9" s="129" t="str">
        <f t="shared" si="3"/>
        <v/>
      </c>
      <c r="E9" s="10"/>
      <c r="F9" s="138"/>
      <c r="G9" s="138"/>
      <c r="H9" s="138"/>
      <c r="I9" s="139"/>
      <c r="J9" s="139"/>
      <c r="K9" s="140"/>
      <c r="L9" s="140"/>
      <c r="M9" s="140"/>
      <c r="N9" s="140"/>
      <c r="O9" s="140"/>
      <c r="P9" s="140"/>
      <c r="Q9" s="140"/>
      <c r="R9" s="140"/>
      <c r="S9" s="140"/>
      <c r="T9" s="10"/>
      <c r="U9" s="10"/>
      <c r="V9" s="10"/>
      <c r="W9" s="10"/>
      <c r="X9" s="10"/>
      <c r="Y9" s="10"/>
      <c r="Z9" s="10"/>
      <c r="AA9" s="10"/>
    </row>
    <row r="10" spans="1:27" x14ac:dyDescent="0.35">
      <c r="A10" s="132"/>
      <c r="B10" s="11" t="str">
        <f>IF(ISBLANK(A10),"",INDEX(PlantList!B:B,MATCH(A10,PlantList!C:C,0)))</f>
        <v/>
      </c>
      <c r="C10" s="12" t="str">
        <f t="shared" si="2"/>
        <v/>
      </c>
      <c r="D10" s="129" t="str">
        <f t="shared" si="3"/>
        <v/>
      </c>
      <c r="E10" s="10"/>
      <c r="F10" s="138"/>
      <c r="G10" s="138"/>
      <c r="H10" s="138"/>
      <c r="I10" s="139"/>
      <c r="J10" s="139"/>
      <c r="K10" s="140"/>
      <c r="L10" s="140"/>
      <c r="M10" s="140"/>
      <c r="N10" s="140"/>
      <c r="O10" s="140"/>
      <c r="P10" s="140"/>
      <c r="Q10" s="140"/>
      <c r="R10" s="140"/>
      <c r="S10" s="140"/>
      <c r="T10" s="10"/>
      <c r="U10" s="10"/>
      <c r="V10" s="10"/>
      <c r="W10" s="10"/>
      <c r="X10" s="10"/>
      <c r="Y10" s="10"/>
      <c r="Z10" s="10"/>
      <c r="AA10" s="10"/>
    </row>
    <row r="11" spans="1:27" x14ac:dyDescent="0.35">
      <c r="A11" s="132"/>
      <c r="B11" s="11" t="str">
        <f>IF(ISBLANK(A11),"",INDEX(PlantList!B:B,MATCH(A11,PlantList!C:C,0)))</f>
        <v/>
      </c>
      <c r="C11" s="12" t="str">
        <f t="shared" si="2"/>
        <v/>
      </c>
      <c r="D11" s="129" t="str">
        <f t="shared" si="3"/>
        <v/>
      </c>
      <c r="E11" s="10"/>
      <c r="F11" s="138"/>
      <c r="G11" s="138"/>
      <c r="H11" s="138"/>
      <c r="I11" s="139"/>
      <c r="J11" s="139"/>
      <c r="K11" s="140"/>
      <c r="L11" s="140"/>
      <c r="M11" s="140"/>
      <c r="N11" s="140"/>
      <c r="O11" s="140"/>
      <c r="P11" s="140"/>
      <c r="Q11" s="140"/>
      <c r="R11" s="140"/>
      <c r="S11" s="140"/>
      <c r="T11" s="10"/>
      <c r="U11" s="10"/>
      <c r="V11" s="10"/>
      <c r="W11" s="10"/>
      <c r="X11" s="10"/>
      <c r="Y11" s="10"/>
      <c r="Z11" s="10"/>
      <c r="AA11" s="10"/>
    </row>
    <row r="12" spans="1:27" x14ac:dyDescent="0.35">
      <c r="A12" s="132"/>
      <c r="B12" s="11" t="str">
        <f>IF(ISBLANK(A12),"",INDEX(PlantList!B:B,MATCH(A12,PlantList!C:C,0)))</f>
        <v/>
      </c>
      <c r="C12" s="12" t="str">
        <f t="shared" si="2"/>
        <v/>
      </c>
      <c r="D12" s="129" t="str">
        <f t="shared" si="3"/>
        <v/>
      </c>
      <c r="E12" s="10"/>
      <c r="F12" s="138"/>
      <c r="G12" s="138"/>
      <c r="H12" s="138"/>
      <c r="I12" s="139"/>
      <c r="J12" s="139"/>
      <c r="K12" s="140"/>
      <c r="L12" s="140"/>
      <c r="M12" s="140"/>
      <c r="N12" s="140"/>
      <c r="O12" s="140"/>
      <c r="P12" s="140"/>
      <c r="Q12" s="140"/>
      <c r="R12" s="140"/>
      <c r="S12" s="140"/>
      <c r="T12" s="10"/>
      <c r="U12" s="10"/>
      <c r="V12" s="10"/>
      <c r="W12" s="10"/>
      <c r="X12" s="10"/>
      <c r="Y12" s="10"/>
      <c r="Z12" s="10"/>
      <c r="AA12" s="10"/>
    </row>
    <row r="13" spans="1:27" x14ac:dyDescent="0.35">
      <c r="A13" s="132"/>
      <c r="B13" s="11" t="str">
        <f>IF(ISBLANK(A13),"",INDEX(PlantList!B:B,MATCH(A13,PlantList!C:C,0)))</f>
        <v/>
      </c>
      <c r="C13" s="12" t="str">
        <f t="shared" si="2"/>
        <v/>
      </c>
      <c r="D13" s="129" t="str">
        <f t="shared" si="3"/>
        <v/>
      </c>
      <c r="E13" s="10"/>
      <c r="F13" s="138"/>
      <c r="G13" s="138"/>
      <c r="H13" s="138"/>
      <c r="I13" s="139"/>
      <c r="J13" s="139"/>
      <c r="K13" s="140"/>
      <c r="L13" s="140"/>
      <c r="M13" s="140"/>
      <c r="N13" s="140"/>
      <c r="O13" s="140"/>
      <c r="P13" s="140"/>
      <c r="Q13" s="140"/>
      <c r="R13" s="140"/>
      <c r="S13" s="140"/>
      <c r="T13" s="10"/>
      <c r="U13" s="10"/>
      <c r="V13" s="10"/>
      <c r="W13" s="10"/>
      <c r="X13" s="10"/>
      <c r="Y13" s="10"/>
      <c r="Z13" s="10"/>
      <c r="AA13" s="10"/>
    </row>
    <row r="14" spans="1:27" x14ac:dyDescent="0.35">
      <c r="A14" s="132"/>
      <c r="B14" s="11" t="str">
        <f>IF(ISBLANK(A14),"",INDEX(PlantList!B:B,MATCH(A14,PlantList!C:C,0)))</f>
        <v/>
      </c>
      <c r="C14" s="12" t="str">
        <f t="shared" si="2"/>
        <v/>
      </c>
      <c r="D14" s="129" t="str">
        <f t="shared" si="3"/>
        <v/>
      </c>
      <c r="E14" s="10"/>
      <c r="F14" s="138"/>
      <c r="G14" s="138"/>
      <c r="H14" s="138"/>
      <c r="I14" s="139"/>
      <c r="J14" s="139"/>
      <c r="K14" s="140"/>
      <c r="L14" s="140"/>
      <c r="M14" s="140"/>
      <c r="N14" s="140"/>
      <c r="O14" s="140"/>
      <c r="P14" s="140"/>
      <c r="Q14" s="140"/>
      <c r="R14" s="140"/>
      <c r="S14" s="140"/>
      <c r="T14" s="10"/>
      <c r="U14" s="10"/>
      <c r="V14" s="10"/>
      <c r="W14" s="10"/>
      <c r="X14" s="10"/>
      <c r="Y14" s="10"/>
      <c r="Z14" s="10"/>
      <c r="AA14" s="10"/>
    </row>
    <row r="15" spans="1:27" x14ac:dyDescent="0.35">
      <c r="A15" s="132"/>
      <c r="B15" s="11" t="str">
        <f>IF(ISBLANK(A15),"",INDEX(PlantList!B:B,MATCH(A15,PlantList!C:C,0)))</f>
        <v/>
      </c>
      <c r="C15" s="12" t="str">
        <f t="shared" si="2"/>
        <v/>
      </c>
      <c r="D15" s="129" t="str">
        <f t="shared" si="3"/>
        <v/>
      </c>
      <c r="E15" s="10"/>
      <c r="F15" s="138"/>
      <c r="G15" s="138"/>
      <c r="H15" s="138"/>
      <c r="I15" s="139"/>
      <c r="J15" s="139"/>
      <c r="K15" s="140"/>
      <c r="L15" s="140"/>
      <c r="M15" s="140"/>
      <c r="N15" s="140"/>
      <c r="O15" s="140"/>
      <c r="P15" s="140"/>
      <c r="Q15" s="140"/>
      <c r="R15" s="140"/>
      <c r="S15" s="140"/>
      <c r="T15" s="10"/>
      <c r="U15" s="10"/>
      <c r="V15" s="10"/>
      <c r="W15" s="10"/>
      <c r="X15" s="10"/>
      <c r="Y15" s="10"/>
      <c r="Z15" s="10"/>
      <c r="AA15" s="10"/>
    </row>
    <row r="16" spans="1:27" x14ac:dyDescent="0.35">
      <c r="A16" s="132"/>
      <c r="B16" s="11" t="str">
        <f>IF(ISBLANK(A16),"",INDEX(PlantList!B:B,MATCH(A16,PlantList!C:C,0)))</f>
        <v/>
      </c>
      <c r="C16" s="12" t="str">
        <f t="shared" si="2"/>
        <v/>
      </c>
      <c r="D16" s="129" t="str">
        <f t="shared" si="3"/>
        <v/>
      </c>
      <c r="E16" s="10"/>
      <c r="F16" s="138"/>
      <c r="G16" s="138"/>
      <c r="H16" s="138"/>
      <c r="I16" s="139"/>
      <c r="J16" s="139"/>
      <c r="K16" s="140"/>
      <c r="L16" s="140"/>
      <c r="M16" s="140"/>
      <c r="N16" s="140"/>
      <c r="O16" s="140"/>
      <c r="P16" s="140"/>
      <c r="Q16" s="140"/>
      <c r="R16" s="140"/>
      <c r="S16" s="140"/>
      <c r="T16" s="10"/>
      <c r="U16" s="10"/>
      <c r="V16" s="10"/>
      <c r="W16" s="10"/>
      <c r="X16" s="10"/>
      <c r="Y16" s="10"/>
      <c r="Z16" s="10"/>
      <c r="AA16" s="10"/>
    </row>
    <row r="17" spans="1:27" x14ac:dyDescent="0.35">
      <c r="A17" s="132"/>
      <c r="B17" s="11" t="str">
        <f>IF(ISBLANK(A17),"",INDEX(PlantList!B:B,MATCH(A17,PlantList!C:C,0)))</f>
        <v/>
      </c>
      <c r="C17" s="12" t="str">
        <f t="shared" si="2"/>
        <v/>
      </c>
      <c r="D17" s="129" t="str">
        <f t="shared" si="3"/>
        <v/>
      </c>
      <c r="E17" s="10"/>
      <c r="F17" s="138"/>
      <c r="G17" s="138"/>
      <c r="H17" s="138"/>
      <c r="I17" s="139"/>
      <c r="J17" s="139"/>
      <c r="K17" s="140"/>
      <c r="L17" s="140"/>
      <c r="M17" s="140"/>
      <c r="N17" s="140"/>
      <c r="O17" s="140"/>
      <c r="P17" s="140"/>
      <c r="Q17" s="140"/>
      <c r="R17" s="140"/>
      <c r="S17" s="140"/>
      <c r="T17" s="10"/>
      <c r="U17" s="10"/>
      <c r="V17" s="10"/>
      <c r="W17" s="10"/>
      <c r="X17" s="10"/>
      <c r="Y17" s="10"/>
      <c r="Z17" s="10"/>
      <c r="AA17" s="10"/>
    </row>
    <row r="18" spans="1:27" x14ac:dyDescent="0.35">
      <c r="A18" s="132"/>
      <c r="B18" s="11" t="str">
        <f>IF(ISBLANK(A18),"",INDEX(PlantList!B:B,MATCH(A18,PlantList!C:C,0)))</f>
        <v/>
      </c>
      <c r="C18" s="12" t="str">
        <f t="shared" si="2"/>
        <v/>
      </c>
      <c r="D18" s="129" t="str">
        <f t="shared" si="3"/>
        <v/>
      </c>
      <c r="E18" s="10"/>
      <c r="F18" s="138"/>
      <c r="G18" s="138"/>
      <c r="H18" s="138"/>
      <c r="I18" s="139"/>
      <c r="J18" s="139"/>
      <c r="K18" s="140"/>
      <c r="L18" s="140"/>
      <c r="M18" s="140"/>
      <c r="N18" s="140"/>
      <c r="O18" s="140"/>
      <c r="P18" s="140"/>
      <c r="Q18" s="140"/>
      <c r="R18" s="140"/>
      <c r="S18" s="140"/>
      <c r="T18" s="10"/>
      <c r="U18" s="10"/>
      <c r="V18" s="10"/>
      <c r="W18" s="10"/>
      <c r="X18" s="10"/>
      <c r="Y18" s="10"/>
      <c r="Z18" s="10"/>
      <c r="AA18" s="10"/>
    </row>
    <row r="19" spans="1:27" x14ac:dyDescent="0.35">
      <c r="A19" s="132"/>
      <c r="B19" s="11" t="str">
        <f>IF(ISBLANK(A19),"",INDEX(PlantList!B:B,MATCH(A19,PlantList!C:C,0)))</f>
        <v/>
      </c>
      <c r="C19" s="12" t="str">
        <f t="shared" si="2"/>
        <v/>
      </c>
      <c r="D19" s="129" t="str">
        <f t="shared" si="3"/>
        <v/>
      </c>
      <c r="E19" s="10"/>
      <c r="F19" s="138"/>
      <c r="G19" s="138"/>
      <c r="H19" s="138"/>
      <c r="I19" s="139"/>
      <c r="J19" s="139"/>
      <c r="K19" s="140"/>
      <c r="L19" s="140"/>
      <c r="M19" s="140"/>
      <c r="N19" s="140"/>
      <c r="O19" s="140"/>
      <c r="P19" s="140"/>
      <c r="Q19" s="140"/>
      <c r="R19" s="140"/>
      <c r="S19" s="140"/>
      <c r="T19" s="10"/>
      <c r="U19" s="10"/>
      <c r="V19" s="10"/>
      <c r="W19" s="10"/>
      <c r="X19" s="10"/>
      <c r="Y19" s="10"/>
      <c r="Z19" s="10"/>
      <c r="AA19" s="10"/>
    </row>
    <row r="20" spans="1:27" x14ac:dyDescent="0.35">
      <c r="A20" s="132"/>
      <c r="B20" s="11" t="str">
        <f>IF(ISBLANK(A20),"",INDEX(PlantList!B:B,MATCH(A20,PlantList!C:C,0)))</f>
        <v/>
      </c>
      <c r="C20" s="12" t="str">
        <f t="shared" si="2"/>
        <v/>
      </c>
      <c r="D20" s="129" t="str">
        <f t="shared" si="3"/>
        <v/>
      </c>
      <c r="E20" s="10"/>
      <c r="F20" s="138"/>
      <c r="G20" s="138"/>
      <c r="H20" s="138"/>
      <c r="I20" s="139"/>
      <c r="J20" s="139"/>
      <c r="K20" s="140"/>
      <c r="L20" s="140"/>
      <c r="M20" s="140"/>
      <c r="N20" s="140"/>
      <c r="O20" s="140"/>
      <c r="P20" s="140"/>
      <c r="Q20" s="140"/>
      <c r="R20" s="140"/>
      <c r="S20" s="140"/>
      <c r="T20" s="10"/>
      <c r="U20" s="10"/>
      <c r="V20" s="10"/>
      <c r="W20" s="10"/>
      <c r="X20" s="10"/>
      <c r="Y20" s="10"/>
      <c r="Z20" s="10"/>
      <c r="AA20" s="10"/>
    </row>
    <row r="21" spans="1:27" x14ac:dyDescent="0.35">
      <c r="A21" s="132"/>
      <c r="B21" s="11" t="str">
        <f>IF(ISBLANK(A21),"",INDEX(PlantList!B:B,MATCH(A21,PlantList!C:C,0)))</f>
        <v/>
      </c>
      <c r="C21" s="12" t="str">
        <f t="shared" si="2"/>
        <v/>
      </c>
      <c r="D21" s="129" t="str">
        <f t="shared" si="3"/>
        <v/>
      </c>
      <c r="E21" s="10"/>
      <c r="F21" s="138"/>
      <c r="G21" s="138"/>
      <c r="H21" s="138"/>
      <c r="I21" s="139"/>
      <c r="J21" s="139"/>
      <c r="K21" s="140"/>
      <c r="L21" s="140"/>
      <c r="M21" s="140"/>
      <c r="N21" s="140"/>
      <c r="O21" s="140"/>
      <c r="P21" s="140"/>
      <c r="Q21" s="140"/>
      <c r="R21" s="140"/>
      <c r="S21" s="140"/>
      <c r="T21" s="10"/>
      <c r="U21" s="10"/>
      <c r="V21" s="10"/>
      <c r="W21" s="10"/>
      <c r="X21" s="10"/>
      <c r="Y21" s="10"/>
      <c r="Z21" s="10"/>
      <c r="AA21" s="10"/>
    </row>
    <row r="22" spans="1:27" x14ac:dyDescent="0.35">
      <c r="A22" s="132"/>
      <c r="B22" s="11" t="str">
        <f>IF(ISBLANK(A22),"",INDEX(PlantList!B:B,MATCH(A22,PlantList!C:C,0)))</f>
        <v/>
      </c>
      <c r="C22" s="12" t="str">
        <f t="shared" si="2"/>
        <v/>
      </c>
      <c r="D22" s="129" t="str">
        <f t="shared" si="3"/>
        <v/>
      </c>
      <c r="E22" s="10"/>
      <c r="F22" s="138"/>
      <c r="G22" s="138"/>
      <c r="H22" s="138"/>
      <c r="I22" s="139"/>
      <c r="J22" s="139"/>
      <c r="K22" s="140"/>
      <c r="L22" s="140"/>
      <c r="M22" s="140"/>
      <c r="N22" s="140"/>
      <c r="O22" s="140"/>
      <c r="P22" s="140"/>
      <c r="Q22" s="140"/>
      <c r="R22" s="140"/>
      <c r="S22" s="140"/>
      <c r="T22" s="10"/>
      <c r="U22" s="10"/>
      <c r="V22" s="10"/>
      <c r="W22" s="10"/>
      <c r="X22" s="10"/>
      <c r="Y22" s="10"/>
      <c r="Z22" s="10"/>
      <c r="AA22" s="10"/>
    </row>
    <row r="23" spans="1:27" x14ac:dyDescent="0.35">
      <c r="A23" s="132"/>
      <c r="B23" s="11" t="str">
        <f>IF(ISBLANK(A23),"",INDEX(PlantList!B:B,MATCH(A23,PlantList!C:C,0)))</f>
        <v/>
      </c>
      <c r="C23" s="12" t="str">
        <f t="shared" si="2"/>
        <v/>
      </c>
      <c r="D23" s="129" t="str">
        <f t="shared" si="3"/>
        <v/>
      </c>
      <c r="E23" s="10"/>
      <c r="F23" s="138"/>
      <c r="G23" s="138"/>
      <c r="H23" s="138"/>
      <c r="I23" s="139"/>
      <c r="J23" s="139"/>
      <c r="K23" s="140"/>
      <c r="L23" s="140"/>
      <c r="M23" s="140"/>
      <c r="N23" s="140"/>
      <c r="O23" s="140"/>
      <c r="P23" s="140"/>
      <c r="Q23" s="140"/>
      <c r="R23" s="140"/>
      <c r="S23" s="140"/>
      <c r="T23" s="10"/>
      <c r="U23" s="10"/>
      <c r="V23" s="10"/>
      <c r="W23" s="10"/>
      <c r="X23" s="10"/>
      <c r="Y23" s="10"/>
      <c r="Z23" s="10"/>
      <c r="AA23" s="10"/>
    </row>
    <row r="24" spans="1:27" x14ac:dyDescent="0.35">
      <c r="A24" s="132"/>
      <c r="B24" s="11" t="str">
        <f>IF(ISBLANK(A24),"",INDEX(PlantList!B:B,MATCH(A24,PlantList!C:C,0)))</f>
        <v/>
      </c>
      <c r="C24" s="12" t="str">
        <f t="shared" si="2"/>
        <v/>
      </c>
      <c r="D24" s="129" t="str">
        <f t="shared" si="3"/>
        <v/>
      </c>
      <c r="E24" s="10"/>
      <c r="F24" s="138"/>
      <c r="G24" s="138"/>
      <c r="H24" s="138"/>
      <c r="I24" s="139"/>
      <c r="J24" s="139"/>
      <c r="K24" s="140"/>
      <c r="L24" s="140"/>
      <c r="M24" s="140"/>
      <c r="N24" s="140"/>
      <c r="O24" s="140"/>
      <c r="P24" s="140"/>
      <c r="Q24" s="140"/>
      <c r="R24" s="140"/>
      <c r="S24" s="140"/>
      <c r="T24" s="10"/>
      <c r="U24" s="10"/>
      <c r="V24" s="10"/>
      <c r="W24" s="10"/>
      <c r="X24" s="10"/>
      <c r="Y24" s="10"/>
      <c r="Z24" s="10"/>
      <c r="AA24" s="10"/>
    </row>
    <row r="25" spans="1:27" x14ac:dyDescent="0.35">
      <c r="A25" s="132"/>
      <c r="B25" s="11" t="str">
        <f>IF(ISBLANK(A25),"",INDEX(PlantList!B:B,MATCH(A25,PlantList!C:C,0)))</f>
        <v/>
      </c>
      <c r="C25" s="12" t="str">
        <f t="shared" si="2"/>
        <v/>
      </c>
      <c r="D25" s="129" t="str">
        <f t="shared" si="3"/>
        <v/>
      </c>
      <c r="E25" s="10"/>
      <c r="F25" s="138"/>
      <c r="G25" s="138"/>
      <c r="H25" s="138"/>
      <c r="I25" s="139"/>
      <c r="J25" s="139"/>
      <c r="K25" s="140"/>
      <c r="L25" s="140"/>
      <c r="M25" s="140"/>
      <c r="N25" s="140"/>
      <c r="O25" s="140"/>
      <c r="P25" s="140"/>
      <c r="Q25" s="140"/>
      <c r="R25" s="140"/>
      <c r="S25" s="140"/>
      <c r="T25" s="10"/>
      <c r="U25" s="10"/>
      <c r="V25" s="10"/>
      <c r="W25" s="10"/>
      <c r="X25" s="10"/>
      <c r="Y25" s="10"/>
      <c r="Z25" s="10"/>
      <c r="AA25" s="10"/>
    </row>
    <row r="26" spans="1:27" x14ac:dyDescent="0.35">
      <c r="A26" s="132"/>
      <c r="B26" s="11" t="str">
        <f>IF(ISBLANK(A26),"",INDEX(PlantList!B:B,MATCH(A26,PlantList!C:C,0)))</f>
        <v/>
      </c>
      <c r="C26" s="12" t="str">
        <f t="shared" si="2"/>
        <v/>
      </c>
      <c r="D26" s="129" t="str">
        <f t="shared" si="3"/>
        <v/>
      </c>
      <c r="E26" s="10"/>
      <c r="F26" s="138"/>
      <c r="G26" s="138"/>
      <c r="H26" s="138"/>
      <c r="I26" s="139"/>
      <c r="J26" s="139"/>
      <c r="K26" s="140"/>
      <c r="L26" s="140"/>
      <c r="M26" s="140"/>
      <c r="N26" s="140"/>
      <c r="O26" s="140"/>
      <c r="P26" s="140"/>
      <c r="Q26" s="140"/>
      <c r="R26" s="140"/>
      <c r="S26" s="140"/>
      <c r="T26" s="10"/>
      <c r="U26" s="10"/>
      <c r="V26" s="10"/>
      <c r="W26" s="10"/>
      <c r="X26" s="10"/>
      <c r="Y26" s="10"/>
      <c r="Z26" s="10"/>
      <c r="AA26" s="10"/>
    </row>
    <row r="27" spans="1:27" x14ac:dyDescent="0.35">
      <c r="A27" s="132"/>
      <c r="B27" s="11" t="str">
        <f>IF(ISBLANK(A27),"",INDEX(PlantList!B:B,MATCH(A27,PlantList!C:C,0)))</f>
        <v/>
      </c>
      <c r="C27" s="12" t="str">
        <f t="shared" si="2"/>
        <v/>
      </c>
      <c r="D27" s="129" t="str">
        <f t="shared" si="3"/>
        <v/>
      </c>
      <c r="E27" s="10"/>
      <c r="F27" s="138"/>
      <c r="G27" s="138"/>
      <c r="H27" s="138"/>
      <c r="I27" s="139"/>
      <c r="J27" s="139"/>
      <c r="K27" s="140"/>
      <c r="L27" s="140"/>
      <c r="M27" s="140"/>
      <c r="N27" s="140"/>
      <c r="O27" s="140"/>
      <c r="P27" s="140"/>
      <c r="Q27" s="140"/>
      <c r="R27" s="140"/>
      <c r="S27" s="140"/>
      <c r="T27" s="10"/>
      <c r="U27" s="10"/>
      <c r="V27" s="10"/>
      <c r="W27" s="10"/>
      <c r="X27" s="10"/>
      <c r="Y27" s="10"/>
      <c r="Z27" s="10"/>
      <c r="AA27" s="10"/>
    </row>
    <row r="28" spans="1:27" x14ac:dyDescent="0.35">
      <c r="A28" s="132"/>
      <c r="B28" s="11" t="str">
        <f>IF(ISBLANK(A28),"",INDEX(PlantList!B:B,MATCH(A28,PlantList!C:C,0)))</f>
        <v/>
      </c>
      <c r="C28" s="12" t="str">
        <f t="shared" si="2"/>
        <v/>
      </c>
      <c r="D28" s="129" t="str">
        <f t="shared" si="3"/>
        <v/>
      </c>
      <c r="E28" s="10"/>
      <c r="F28" s="138"/>
      <c r="G28" s="138"/>
      <c r="H28" s="138"/>
      <c r="I28" s="139"/>
      <c r="J28" s="139"/>
      <c r="K28" s="140"/>
      <c r="L28" s="140"/>
      <c r="M28" s="140"/>
      <c r="N28" s="140"/>
      <c r="O28" s="140"/>
      <c r="P28" s="140"/>
      <c r="Q28" s="140"/>
      <c r="R28" s="140"/>
      <c r="S28" s="140"/>
      <c r="T28" s="10"/>
      <c r="U28" s="10"/>
      <c r="V28" s="10"/>
      <c r="W28" s="10"/>
      <c r="X28" s="10"/>
      <c r="Y28" s="10"/>
      <c r="Z28" s="10"/>
      <c r="AA28" s="10"/>
    </row>
    <row r="29" spans="1:27" x14ac:dyDescent="0.35">
      <c r="A29" s="132"/>
      <c r="B29" s="11" t="str">
        <f>IF(ISBLANK(A29),"",INDEX(PlantList!B:B,MATCH(A29,PlantList!C:C,0)))</f>
        <v/>
      </c>
      <c r="C29" s="12" t="str">
        <f t="shared" si="2"/>
        <v/>
      </c>
      <c r="D29" s="129" t="str">
        <f t="shared" si="3"/>
        <v/>
      </c>
      <c r="E29" s="10"/>
      <c r="F29" s="138"/>
      <c r="G29" s="138"/>
      <c r="H29" s="138"/>
      <c r="I29" s="139"/>
      <c r="J29" s="139"/>
      <c r="K29" s="140"/>
      <c r="L29" s="140"/>
      <c r="M29" s="140"/>
      <c r="N29" s="140"/>
      <c r="O29" s="140"/>
      <c r="P29" s="140"/>
      <c r="Q29" s="140"/>
      <c r="R29" s="140"/>
      <c r="S29" s="140"/>
      <c r="T29" s="10"/>
      <c r="U29" s="10"/>
      <c r="V29" s="10"/>
      <c r="W29" s="10"/>
      <c r="X29" s="10"/>
      <c r="Y29" s="10"/>
      <c r="Z29" s="10"/>
      <c r="AA29" s="10"/>
    </row>
    <row r="30" spans="1:27" x14ac:dyDescent="0.35">
      <c r="A30" s="132"/>
      <c r="B30" s="11" t="str">
        <f>IF(ISBLANK(A30),"",INDEX(PlantList!B:B,MATCH(A30,PlantList!C:C,0)))</f>
        <v/>
      </c>
      <c r="C30" s="12" t="str">
        <f t="shared" si="2"/>
        <v/>
      </c>
      <c r="D30" s="129" t="str">
        <f t="shared" si="3"/>
        <v/>
      </c>
      <c r="E30" s="10"/>
      <c r="F30" s="138"/>
      <c r="G30" s="138"/>
      <c r="H30" s="138"/>
      <c r="I30" s="139"/>
      <c r="J30" s="139"/>
      <c r="K30" s="140"/>
      <c r="L30" s="140"/>
      <c r="M30" s="140"/>
      <c r="N30" s="140"/>
      <c r="O30" s="140"/>
      <c r="P30" s="140"/>
      <c r="Q30" s="140"/>
      <c r="R30" s="140"/>
      <c r="S30" s="140"/>
      <c r="T30" s="10"/>
      <c r="U30" s="10"/>
      <c r="V30" s="10"/>
      <c r="W30" s="10"/>
      <c r="X30" s="10"/>
      <c r="Y30" s="10"/>
      <c r="Z30" s="10"/>
      <c r="AA30" s="10"/>
    </row>
    <row r="31" spans="1:27" x14ac:dyDescent="0.35">
      <c r="A31" s="132"/>
      <c r="B31" s="11" t="str">
        <f>IF(ISBLANK(A31),"",INDEX(PlantList!B:B,MATCH(A31,PlantList!C:C,0)))</f>
        <v/>
      </c>
      <c r="C31" s="12" t="str">
        <f t="shared" si="2"/>
        <v/>
      </c>
      <c r="D31" s="129" t="str">
        <f t="shared" si="3"/>
        <v/>
      </c>
      <c r="E31" s="10"/>
      <c r="F31" s="138"/>
      <c r="G31" s="138"/>
      <c r="H31" s="138"/>
      <c r="I31" s="139"/>
      <c r="J31" s="139"/>
      <c r="K31" s="140"/>
      <c r="L31" s="140"/>
      <c r="M31" s="140"/>
      <c r="N31" s="140"/>
      <c r="O31" s="140"/>
      <c r="P31" s="140"/>
      <c r="Q31" s="140"/>
      <c r="R31" s="140"/>
      <c r="S31" s="140"/>
      <c r="T31" s="10"/>
      <c r="U31" s="10"/>
      <c r="V31" s="10"/>
      <c r="W31" s="10"/>
      <c r="X31" s="10"/>
      <c r="Y31" s="10"/>
      <c r="Z31" s="10"/>
      <c r="AA31" s="10"/>
    </row>
    <row r="32" spans="1:27" x14ac:dyDescent="0.35">
      <c r="A32" s="132"/>
      <c r="B32" s="11" t="str">
        <f>IF(ISBLANK(A32),"",INDEX(PlantList!B:B,MATCH(A32,PlantList!C:C,0)))</f>
        <v/>
      </c>
      <c r="C32" s="12" t="str">
        <f t="shared" si="2"/>
        <v/>
      </c>
      <c r="D32" s="129" t="str">
        <f t="shared" si="3"/>
        <v/>
      </c>
      <c r="E32" s="10"/>
      <c r="F32" s="138"/>
      <c r="G32" s="138"/>
      <c r="H32" s="138"/>
      <c r="I32" s="139"/>
      <c r="J32" s="139"/>
      <c r="K32" s="140"/>
      <c r="L32" s="140"/>
      <c r="M32" s="140"/>
      <c r="N32" s="140"/>
      <c r="O32" s="140"/>
      <c r="P32" s="140"/>
      <c r="Q32" s="140"/>
      <c r="R32" s="140"/>
      <c r="S32" s="140"/>
      <c r="T32" s="10"/>
      <c r="U32" s="10"/>
      <c r="V32" s="10"/>
      <c r="W32" s="10"/>
      <c r="X32" s="10"/>
      <c r="Y32" s="10"/>
      <c r="Z32" s="10"/>
      <c r="AA32" s="10"/>
    </row>
    <row r="33" spans="1:27" x14ac:dyDescent="0.35">
      <c r="A33" s="132"/>
      <c r="B33" s="11" t="str">
        <f>IF(ISBLANK(A33),"",INDEX(PlantList!B:B,MATCH(A33,PlantList!C:C,0)))</f>
        <v/>
      </c>
      <c r="C33" s="12" t="str">
        <f t="shared" si="2"/>
        <v/>
      </c>
      <c r="D33" s="129" t="str">
        <f t="shared" si="3"/>
        <v/>
      </c>
      <c r="E33" s="10"/>
      <c r="F33" s="138"/>
      <c r="G33" s="138"/>
      <c r="H33" s="138"/>
      <c r="I33" s="139"/>
      <c r="J33" s="139"/>
      <c r="K33" s="140"/>
      <c r="L33" s="140"/>
      <c r="M33" s="140"/>
      <c r="N33" s="140"/>
      <c r="O33" s="140"/>
      <c r="P33" s="140"/>
      <c r="Q33" s="140"/>
      <c r="R33" s="140"/>
      <c r="S33" s="140"/>
      <c r="T33" s="10"/>
      <c r="U33" s="10"/>
      <c r="V33" s="10"/>
      <c r="W33" s="10"/>
      <c r="X33" s="10"/>
      <c r="Y33" s="10"/>
      <c r="Z33" s="10"/>
      <c r="AA33" s="10"/>
    </row>
    <row r="34" spans="1:27" x14ac:dyDescent="0.35">
      <c r="A34" s="132"/>
      <c r="B34" s="11" t="str">
        <f>IF(ISBLANK(A34),"",INDEX(PlantList!B:B,MATCH(A34,PlantList!C:C,0)))</f>
        <v/>
      </c>
      <c r="C34" s="12" t="str">
        <f t="shared" si="2"/>
        <v/>
      </c>
      <c r="D34" s="129" t="str">
        <f t="shared" si="3"/>
        <v/>
      </c>
      <c r="E34" s="10"/>
      <c r="F34" s="138"/>
      <c r="G34" s="138"/>
      <c r="H34" s="138"/>
      <c r="I34" s="139"/>
      <c r="J34" s="139"/>
      <c r="K34" s="140"/>
      <c r="L34" s="140"/>
      <c r="M34" s="140"/>
      <c r="N34" s="140"/>
      <c r="O34" s="140"/>
      <c r="P34" s="140"/>
      <c r="Q34" s="140"/>
      <c r="R34" s="140"/>
      <c r="S34" s="140"/>
      <c r="T34" s="10"/>
      <c r="U34" s="10"/>
      <c r="V34" s="10"/>
      <c r="W34" s="10"/>
      <c r="X34" s="10"/>
      <c r="Y34" s="10"/>
      <c r="Z34" s="10"/>
      <c r="AA34" s="10"/>
    </row>
    <row r="35" spans="1:27" x14ac:dyDescent="0.35">
      <c r="A35" s="132"/>
      <c r="B35" s="11" t="str">
        <f>IF(ISBLANK(A35),"",INDEX(PlantList!B:B,MATCH(A35,PlantList!C:C,0)))</f>
        <v/>
      </c>
      <c r="C35" s="12" t="str">
        <f t="shared" si="2"/>
        <v/>
      </c>
      <c r="D35" s="129" t="str">
        <f t="shared" si="3"/>
        <v/>
      </c>
      <c r="E35" s="10"/>
      <c r="F35" s="138"/>
      <c r="G35" s="138"/>
      <c r="H35" s="138"/>
      <c r="I35" s="139"/>
      <c r="J35" s="139"/>
      <c r="K35" s="140"/>
      <c r="L35" s="140"/>
      <c r="M35" s="140"/>
      <c r="N35" s="140"/>
      <c r="O35" s="140"/>
      <c r="P35" s="140"/>
      <c r="Q35" s="140"/>
      <c r="R35" s="140"/>
      <c r="S35" s="140"/>
      <c r="T35" s="10"/>
      <c r="U35" s="10"/>
      <c r="V35" s="10"/>
      <c r="W35" s="10"/>
      <c r="X35" s="10"/>
      <c r="Y35" s="10"/>
      <c r="Z35" s="10"/>
      <c r="AA35" s="10"/>
    </row>
    <row r="36" spans="1:27" x14ac:dyDescent="0.35">
      <c r="A36" s="132"/>
      <c r="B36" s="11" t="str">
        <f>IF(ISBLANK(A36),"",INDEX(PlantList!B:B,MATCH(A36,PlantList!C:C,0)))</f>
        <v/>
      </c>
      <c r="C36" s="12" t="str">
        <f t="shared" si="2"/>
        <v/>
      </c>
      <c r="D36" s="129" t="str">
        <f t="shared" si="3"/>
        <v/>
      </c>
      <c r="E36" s="10"/>
      <c r="F36" s="138"/>
      <c r="G36" s="138"/>
      <c r="H36" s="138"/>
      <c r="I36" s="139"/>
      <c r="J36" s="139"/>
      <c r="K36" s="140"/>
      <c r="L36" s="140"/>
      <c r="M36" s="140"/>
      <c r="N36" s="140"/>
      <c r="O36" s="140"/>
      <c r="P36" s="140"/>
      <c r="Q36" s="140"/>
      <c r="R36" s="140"/>
      <c r="S36" s="140"/>
      <c r="T36" s="10"/>
      <c r="U36" s="10"/>
      <c r="V36" s="10"/>
      <c r="W36" s="10"/>
      <c r="X36" s="10"/>
      <c r="Y36" s="10"/>
      <c r="Z36" s="10"/>
      <c r="AA36" s="10"/>
    </row>
    <row r="37" spans="1:27" x14ac:dyDescent="0.35">
      <c r="A37" s="132"/>
      <c r="B37" s="11" t="str">
        <f>IF(ISBLANK(A37),"",INDEX(PlantList!B:B,MATCH(A37,PlantList!C:C,0)))</f>
        <v/>
      </c>
      <c r="C37" s="12" t="str">
        <f t="shared" si="2"/>
        <v/>
      </c>
      <c r="D37" s="129" t="str">
        <f t="shared" si="3"/>
        <v/>
      </c>
      <c r="E37" s="10"/>
      <c r="F37" s="138"/>
      <c r="G37" s="138"/>
      <c r="H37" s="138"/>
      <c r="I37" s="139"/>
      <c r="J37" s="139"/>
      <c r="K37" s="140"/>
      <c r="L37" s="140"/>
      <c r="M37" s="140"/>
      <c r="N37" s="140"/>
      <c r="O37" s="140"/>
      <c r="P37" s="140"/>
      <c r="Q37" s="140"/>
      <c r="R37" s="140"/>
      <c r="S37" s="140"/>
      <c r="T37" s="10"/>
      <c r="U37" s="10"/>
      <c r="V37" s="10"/>
      <c r="W37" s="10"/>
      <c r="X37" s="10"/>
      <c r="Y37" s="10"/>
      <c r="Z37" s="10"/>
      <c r="AA37" s="10"/>
    </row>
    <row r="38" spans="1:27" x14ac:dyDescent="0.35">
      <c r="A38" s="132"/>
      <c r="B38" s="11" t="str">
        <f>IF(ISBLANK(A38),"",INDEX(PlantList!B:B,MATCH(A38,PlantList!C:C,0)))</f>
        <v/>
      </c>
      <c r="C38" s="12" t="str">
        <f t="shared" ref="C38:C69" si="4">IF(ISBLANK(A38),"",SUM(F38:Q38)+COUNT(R38:AC38))</f>
        <v/>
      </c>
      <c r="D38" s="129" t="str">
        <f t="shared" si="3"/>
        <v/>
      </c>
      <c r="E38" s="10"/>
      <c r="F38" s="138"/>
      <c r="G38" s="138"/>
      <c r="H38" s="138"/>
      <c r="I38" s="139"/>
      <c r="J38" s="139"/>
      <c r="K38" s="140"/>
      <c r="L38" s="140"/>
      <c r="M38" s="140"/>
      <c r="N38" s="140"/>
      <c r="O38" s="140"/>
      <c r="P38" s="140"/>
      <c r="Q38" s="140"/>
      <c r="R38" s="140"/>
      <c r="S38" s="140"/>
      <c r="T38" s="10"/>
      <c r="U38" s="10"/>
      <c r="V38" s="10"/>
      <c r="W38" s="10"/>
      <c r="X38" s="10"/>
      <c r="Y38" s="10"/>
      <c r="Z38" s="10"/>
      <c r="AA38" s="10"/>
    </row>
    <row r="39" spans="1:27" x14ac:dyDescent="0.35">
      <c r="A39" s="132"/>
      <c r="B39" s="11" t="str">
        <f>IF(ISBLANK(A39),"",INDEX(PlantList!B:B,MATCH(A39,PlantList!C:C,0)))</f>
        <v/>
      </c>
      <c r="C39" s="12" t="str">
        <f t="shared" si="4"/>
        <v/>
      </c>
      <c r="D39" s="129" t="str">
        <f t="shared" si="3"/>
        <v/>
      </c>
      <c r="E39" s="10"/>
      <c r="F39" s="138"/>
      <c r="G39" s="138"/>
      <c r="H39" s="138"/>
      <c r="I39" s="139"/>
      <c r="J39" s="139"/>
      <c r="K39" s="140"/>
      <c r="L39" s="140"/>
      <c r="M39" s="140"/>
      <c r="N39" s="140"/>
      <c r="O39" s="140"/>
      <c r="P39" s="140"/>
      <c r="Q39" s="140"/>
      <c r="R39" s="140"/>
      <c r="S39" s="140"/>
      <c r="T39" s="10"/>
      <c r="U39" s="10"/>
      <c r="V39" s="10"/>
      <c r="W39" s="10"/>
      <c r="X39" s="10"/>
      <c r="Y39" s="10"/>
      <c r="Z39" s="10"/>
      <c r="AA39" s="10"/>
    </row>
    <row r="40" spans="1:27" x14ac:dyDescent="0.35">
      <c r="A40" s="132"/>
      <c r="B40" s="11" t="str">
        <f>IF(ISBLANK(A40),"",INDEX(PlantList!B:B,MATCH(A40,PlantList!C:C,0)))</f>
        <v/>
      </c>
      <c r="C40" s="12" t="str">
        <f t="shared" si="4"/>
        <v/>
      </c>
      <c r="D40" s="129" t="str">
        <f t="shared" si="3"/>
        <v/>
      </c>
      <c r="E40" s="10"/>
      <c r="F40" s="138"/>
      <c r="G40" s="138"/>
      <c r="H40" s="138"/>
      <c r="I40" s="139"/>
      <c r="J40" s="139"/>
      <c r="K40" s="140"/>
      <c r="L40" s="140"/>
      <c r="M40" s="140"/>
      <c r="N40" s="140"/>
      <c r="O40" s="140"/>
      <c r="P40" s="140"/>
      <c r="Q40" s="140"/>
      <c r="R40" s="140"/>
      <c r="S40" s="140"/>
      <c r="T40" s="10"/>
      <c r="U40" s="10"/>
      <c r="V40" s="10"/>
      <c r="W40" s="10"/>
      <c r="X40" s="10"/>
      <c r="Y40" s="10"/>
      <c r="Z40" s="10"/>
      <c r="AA40" s="10"/>
    </row>
    <row r="41" spans="1:27" x14ac:dyDescent="0.35">
      <c r="A41" s="132"/>
      <c r="B41" s="11" t="str">
        <f>IF(ISBLANK(A41),"",INDEX(PlantList!B:B,MATCH(A41,PlantList!C:C,0)))</f>
        <v/>
      </c>
      <c r="C41" s="12" t="str">
        <f t="shared" si="4"/>
        <v/>
      </c>
      <c r="D41" s="129" t="str">
        <f t="shared" si="3"/>
        <v/>
      </c>
      <c r="E41" s="10"/>
      <c r="F41" s="138"/>
      <c r="G41" s="138"/>
      <c r="H41" s="138"/>
      <c r="I41" s="139"/>
      <c r="J41" s="139"/>
      <c r="K41" s="140"/>
      <c r="L41" s="140"/>
      <c r="M41" s="140"/>
      <c r="N41" s="140"/>
      <c r="O41" s="140"/>
      <c r="P41" s="140"/>
      <c r="Q41" s="140"/>
      <c r="R41" s="140"/>
      <c r="S41" s="140"/>
      <c r="T41" s="10"/>
      <c r="U41" s="10"/>
      <c r="V41" s="10"/>
      <c r="W41" s="10"/>
      <c r="X41" s="10"/>
      <c r="Y41" s="10"/>
      <c r="Z41" s="10"/>
      <c r="AA41" s="10"/>
    </row>
    <row r="42" spans="1:27" x14ac:dyDescent="0.35">
      <c r="A42" s="132"/>
      <c r="B42" s="11" t="str">
        <f>IF(ISBLANK(A42),"",INDEX(PlantList!B:B,MATCH(A42,PlantList!C:C,0)))</f>
        <v/>
      </c>
      <c r="C42" s="12" t="str">
        <f t="shared" si="4"/>
        <v/>
      </c>
      <c r="D42" s="129" t="str">
        <f t="shared" si="3"/>
        <v/>
      </c>
      <c r="E42" s="10"/>
      <c r="F42" s="138"/>
      <c r="G42" s="138"/>
      <c r="H42" s="138"/>
      <c r="I42" s="139"/>
      <c r="J42" s="139"/>
      <c r="K42" s="140"/>
      <c r="L42" s="140"/>
      <c r="M42" s="140"/>
      <c r="N42" s="140"/>
      <c r="O42" s="140"/>
      <c r="P42" s="140"/>
      <c r="Q42" s="140"/>
      <c r="R42" s="140"/>
      <c r="S42" s="140"/>
      <c r="T42" s="10"/>
      <c r="U42" s="10"/>
      <c r="V42" s="10"/>
      <c r="W42" s="10"/>
      <c r="X42" s="10"/>
      <c r="Y42" s="10"/>
      <c r="Z42" s="10"/>
      <c r="AA42" s="10"/>
    </row>
    <row r="43" spans="1:27" x14ac:dyDescent="0.35">
      <c r="A43" s="132"/>
      <c r="B43" s="11" t="str">
        <f>IF(ISBLANK(A43),"",INDEX(PlantList!B:B,MATCH(A43,PlantList!C:C,0)))</f>
        <v/>
      </c>
      <c r="C43" s="12" t="str">
        <f t="shared" si="4"/>
        <v/>
      </c>
      <c r="D43" s="129" t="str">
        <f t="shared" si="3"/>
        <v/>
      </c>
      <c r="E43" s="10"/>
      <c r="F43" s="138"/>
      <c r="G43" s="138"/>
      <c r="H43" s="138"/>
      <c r="I43" s="139"/>
      <c r="J43" s="139"/>
      <c r="K43" s="140"/>
      <c r="L43" s="140"/>
      <c r="M43" s="140"/>
      <c r="N43" s="140"/>
      <c r="O43" s="140"/>
      <c r="P43" s="140"/>
      <c r="Q43" s="140"/>
      <c r="R43" s="140"/>
      <c r="S43" s="140"/>
      <c r="T43" s="10"/>
      <c r="U43" s="10"/>
      <c r="V43" s="10"/>
      <c r="W43" s="10"/>
      <c r="X43" s="10"/>
      <c r="Y43" s="10"/>
      <c r="Z43" s="10"/>
      <c r="AA43" s="10"/>
    </row>
    <row r="44" spans="1:27" x14ac:dyDescent="0.35">
      <c r="A44" s="132"/>
      <c r="B44" s="11" t="str">
        <f>IF(ISBLANK(A44),"",INDEX(PlantList!B:B,MATCH(A44,PlantList!C:C,0)))</f>
        <v/>
      </c>
      <c r="C44" s="12" t="str">
        <f t="shared" si="4"/>
        <v/>
      </c>
      <c r="D44" s="129" t="str">
        <f t="shared" si="3"/>
        <v/>
      </c>
      <c r="E44" s="10"/>
      <c r="F44" s="138"/>
      <c r="G44" s="138"/>
      <c r="H44" s="138"/>
      <c r="I44" s="139"/>
      <c r="J44" s="139"/>
      <c r="K44" s="140"/>
      <c r="L44" s="140"/>
      <c r="M44" s="140"/>
      <c r="N44" s="140"/>
      <c r="O44" s="140"/>
      <c r="P44" s="140"/>
      <c r="Q44" s="140"/>
      <c r="R44" s="140"/>
      <c r="S44" s="140"/>
      <c r="T44" s="10"/>
      <c r="U44" s="10"/>
      <c r="V44" s="10"/>
      <c r="W44" s="10"/>
      <c r="X44" s="10"/>
      <c r="Y44" s="10"/>
      <c r="Z44" s="10"/>
      <c r="AA44" s="10"/>
    </row>
    <row r="45" spans="1:27" x14ac:dyDescent="0.35">
      <c r="A45" s="132"/>
      <c r="B45" s="11" t="str">
        <f>IF(ISBLANK(A45),"",INDEX(PlantList!B:B,MATCH(A45,PlantList!C:C,0)))</f>
        <v/>
      </c>
      <c r="C45" s="12" t="str">
        <f t="shared" si="4"/>
        <v/>
      </c>
      <c r="D45" s="129" t="str">
        <f t="shared" si="3"/>
        <v/>
      </c>
      <c r="E45" s="10"/>
      <c r="F45" s="138"/>
      <c r="G45" s="138"/>
      <c r="H45" s="138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0"/>
      <c r="U45" s="10"/>
      <c r="V45" s="10"/>
      <c r="W45" s="10"/>
      <c r="X45" s="10"/>
      <c r="Y45" s="10"/>
      <c r="Z45" s="10"/>
      <c r="AA45" s="10"/>
    </row>
    <row r="46" spans="1:27" x14ac:dyDescent="0.35">
      <c r="A46" s="132"/>
      <c r="B46" s="11" t="str">
        <f>IF(ISBLANK(A46),"",INDEX(PlantList!B:B,MATCH(A46,PlantList!C:C,0)))</f>
        <v/>
      </c>
      <c r="C46" s="12" t="str">
        <f t="shared" si="4"/>
        <v/>
      </c>
      <c r="D46" s="129" t="str">
        <f t="shared" si="3"/>
        <v/>
      </c>
      <c r="E46" s="10"/>
      <c r="F46" s="138"/>
      <c r="G46" s="138"/>
      <c r="H46" s="138"/>
      <c r="I46" s="139"/>
      <c r="J46" s="139"/>
      <c r="K46" s="140"/>
      <c r="L46" s="140"/>
      <c r="M46" s="140"/>
      <c r="N46" s="140"/>
      <c r="O46" s="140"/>
      <c r="P46" s="140"/>
      <c r="Q46" s="140"/>
      <c r="R46" s="140"/>
      <c r="S46" s="140"/>
      <c r="T46" s="10"/>
      <c r="U46" s="10"/>
      <c r="V46" s="10"/>
      <c r="W46" s="10"/>
      <c r="X46" s="10"/>
      <c r="Y46" s="10"/>
      <c r="Z46" s="10"/>
      <c r="AA46" s="10"/>
    </row>
    <row r="47" spans="1:27" x14ac:dyDescent="0.35">
      <c r="A47" s="132"/>
      <c r="B47" s="11" t="str">
        <f>IF(ISBLANK(A47),"",INDEX(PlantList!B:B,MATCH(A47,PlantList!C:C,0)))</f>
        <v/>
      </c>
      <c r="C47" s="12" t="str">
        <f t="shared" si="4"/>
        <v/>
      </c>
      <c r="D47" s="129" t="str">
        <f t="shared" si="3"/>
        <v/>
      </c>
      <c r="E47" s="10"/>
      <c r="F47" s="138"/>
      <c r="G47" s="138"/>
      <c r="H47" s="138"/>
      <c r="I47" s="139"/>
      <c r="J47" s="139"/>
      <c r="K47" s="140"/>
      <c r="L47" s="140"/>
      <c r="M47" s="140"/>
      <c r="N47" s="140"/>
      <c r="O47" s="140"/>
      <c r="P47" s="140"/>
      <c r="Q47" s="140"/>
      <c r="R47" s="140"/>
      <c r="S47" s="140"/>
      <c r="T47" s="10"/>
      <c r="U47" s="10"/>
      <c r="V47" s="10"/>
      <c r="W47" s="10"/>
      <c r="X47" s="10"/>
      <c r="Y47" s="10"/>
      <c r="Z47" s="10"/>
      <c r="AA47" s="10"/>
    </row>
    <row r="48" spans="1:27" x14ac:dyDescent="0.35">
      <c r="A48" s="132"/>
      <c r="B48" s="11" t="str">
        <f>IF(ISBLANK(A48),"",INDEX(PlantList!B:B,MATCH(A48,PlantList!C:C,0)))</f>
        <v/>
      </c>
      <c r="C48" s="12" t="str">
        <f t="shared" si="4"/>
        <v/>
      </c>
      <c r="D48" s="129" t="str">
        <f t="shared" si="3"/>
        <v/>
      </c>
      <c r="E48" s="10"/>
      <c r="F48" s="138"/>
      <c r="G48" s="138"/>
      <c r="H48" s="138"/>
      <c r="I48" s="139"/>
      <c r="J48" s="139"/>
      <c r="K48" s="140"/>
      <c r="L48" s="140"/>
      <c r="M48" s="140"/>
      <c r="N48" s="140"/>
      <c r="O48" s="140"/>
      <c r="P48" s="140"/>
      <c r="Q48" s="140"/>
      <c r="R48" s="140"/>
      <c r="S48" s="140"/>
      <c r="T48" s="10"/>
      <c r="U48" s="10"/>
      <c r="V48" s="10"/>
      <c r="W48" s="10"/>
      <c r="X48" s="10"/>
      <c r="Y48" s="10"/>
      <c r="Z48" s="10"/>
      <c r="AA48" s="10"/>
    </row>
    <row r="49" spans="1:27" x14ac:dyDescent="0.35">
      <c r="A49" s="132"/>
      <c r="B49" s="11" t="str">
        <f>IF(ISBLANK(A49),"",INDEX(PlantList!B:B,MATCH(A49,PlantList!C:C,0)))</f>
        <v/>
      </c>
      <c r="C49" s="12" t="str">
        <f t="shared" si="4"/>
        <v/>
      </c>
      <c r="D49" s="129" t="str">
        <f t="shared" si="3"/>
        <v/>
      </c>
      <c r="E49" s="10"/>
      <c r="F49" s="138"/>
      <c r="G49" s="138"/>
      <c r="H49" s="138"/>
      <c r="I49" s="139"/>
      <c r="J49" s="139"/>
      <c r="K49" s="140"/>
      <c r="L49" s="140"/>
      <c r="M49" s="140"/>
      <c r="N49" s="140"/>
      <c r="O49" s="140"/>
      <c r="P49" s="140"/>
      <c r="Q49" s="140"/>
      <c r="R49" s="140"/>
      <c r="S49" s="140"/>
      <c r="T49" s="10"/>
      <c r="U49" s="10"/>
      <c r="V49" s="10"/>
      <c r="W49" s="10"/>
      <c r="X49" s="10"/>
      <c r="Y49" s="10"/>
      <c r="Z49" s="10"/>
      <c r="AA49" s="10"/>
    </row>
    <row r="50" spans="1:27" x14ac:dyDescent="0.35">
      <c r="A50" s="132"/>
      <c r="B50" s="11" t="str">
        <f>IF(ISBLANK(A50),"",INDEX(PlantList!B:B,MATCH(A50,PlantList!C:C,0)))</f>
        <v/>
      </c>
      <c r="C50" s="12" t="str">
        <f t="shared" si="4"/>
        <v/>
      </c>
      <c r="D50" s="129" t="str">
        <f t="shared" si="3"/>
        <v/>
      </c>
      <c r="E50" s="10"/>
      <c r="F50" s="138"/>
      <c r="G50" s="138"/>
      <c r="H50" s="138"/>
      <c r="I50" s="139"/>
      <c r="J50" s="139"/>
      <c r="K50" s="140"/>
      <c r="L50" s="140"/>
      <c r="M50" s="140"/>
      <c r="N50" s="140"/>
      <c r="O50" s="140"/>
      <c r="P50" s="140"/>
      <c r="Q50" s="140"/>
      <c r="R50" s="140"/>
      <c r="S50" s="140"/>
      <c r="T50" s="10"/>
      <c r="U50" s="10"/>
      <c r="V50" s="10"/>
      <c r="W50" s="10"/>
      <c r="X50" s="10"/>
      <c r="Y50" s="10"/>
      <c r="Z50" s="10"/>
      <c r="AA50" s="10"/>
    </row>
    <row r="51" spans="1:27" x14ac:dyDescent="0.35">
      <c r="A51" s="132"/>
      <c r="B51" s="11" t="str">
        <f>IF(ISBLANK(A51),"",INDEX(PlantList!B:B,MATCH(A51,PlantList!C:C,0)))</f>
        <v/>
      </c>
      <c r="C51" s="12" t="str">
        <f t="shared" si="4"/>
        <v/>
      </c>
      <c r="D51" s="129" t="str">
        <f t="shared" si="3"/>
        <v/>
      </c>
      <c r="E51" s="10"/>
      <c r="F51" s="138"/>
      <c r="G51" s="138"/>
      <c r="H51" s="138"/>
      <c r="I51" s="139"/>
      <c r="J51" s="139"/>
      <c r="K51" s="140"/>
      <c r="L51" s="140"/>
      <c r="M51" s="140"/>
      <c r="N51" s="140"/>
      <c r="O51" s="140"/>
      <c r="P51" s="140"/>
      <c r="Q51" s="140"/>
      <c r="R51" s="140"/>
      <c r="S51" s="140"/>
      <c r="T51" s="10"/>
      <c r="U51" s="10"/>
      <c r="V51" s="10"/>
      <c r="W51" s="10"/>
      <c r="X51" s="10"/>
      <c r="Y51" s="10"/>
      <c r="Z51" s="10"/>
      <c r="AA51" s="10"/>
    </row>
    <row r="52" spans="1:27" x14ac:dyDescent="0.35">
      <c r="A52" s="132"/>
      <c r="B52" s="11" t="str">
        <f>IF(ISBLANK(A52),"",INDEX(PlantList!B:B,MATCH(A52,PlantList!C:C,0)))</f>
        <v/>
      </c>
      <c r="C52" s="12" t="str">
        <f t="shared" si="4"/>
        <v/>
      </c>
      <c r="D52" s="129" t="str">
        <f t="shared" si="3"/>
        <v/>
      </c>
      <c r="E52" s="10"/>
      <c r="F52" s="138"/>
      <c r="G52" s="138"/>
      <c r="H52" s="138"/>
      <c r="I52" s="139"/>
      <c r="J52" s="139"/>
      <c r="K52" s="140"/>
      <c r="L52" s="140"/>
      <c r="M52" s="140"/>
      <c r="N52" s="140"/>
      <c r="O52" s="140"/>
      <c r="P52" s="140"/>
      <c r="Q52" s="140"/>
      <c r="R52" s="140"/>
      <c r="S52" s="140"/>
      <c r="T52" s="10"/>
      <c r="U52" s="10"/>
      <c r="V52" s="10"/>
      <c r="W52" s="10"/>
      <c r="X52" s="10"/>
      <c r="Y52" s="10"/>
      <c r="Z52" s="10"/>
      <c r="AA52" s="10"/>
    </row>
    <row r="53" spans="1:27" x14ac:dyDescent="0.35">
      <c r="A53" s="132"/>
      <c r="B53" s="11" t="str">
        <f>IF(ISBLANK(A53),"",INDEX(PlantList!B:B,MATCH(A53,PlantList!C:C,0)))</f>
        <v/>
      </c>
      <c r="C53" s="12" t="str">
        <f t="shared" si="4"/>
        <v/>
      </c>
      <c r="D53" s="129" t="str">
        <f t="shared" si="3"/>
        <v/>
      </c>
      <c r="E53" s="10"/>
      <c r="F53" s="138"/>
      <c r="G53" s="138"/>
      <c r="H53" s="138"/>
      <c r="I53" s="139"/>
      <c r="J53" s="139"/>
      <c r="K53" s="140"/>
      <c r="L53" s="140"/>
      <c r="M53" s="140"/>
      <c r="N53" s="140"/>
      <c r="O53" s="140"/>
      <c r="P53" s="140"/>
      <c r="Q53" s="140"/>
      <c r="R53" s="140"/>
      <c r="S53" s="140"/>
      <c r="T53" s="10"/>
      <c r="U53" s="10"/>
      <c r="V53" s="10"/>
      <c r="W53" s="10"/>
      <c r="X53" s="10"/>
      <c r="Y53" s="10"/>
      <c r="Z53" s="10"/>
      <c r="AA53" s="10"/>
    </row>
    <row r="54" spans="1:27" x14ac:dyDescent="0.35">
      <c r="A54" s="132"/>
      <c r="B54" s="11" t="str">
        <f>IF(ISBLANK(A54),"",INDEX(PlantList!B:B,MATCH(A54,PlantList!C:C,0)))</f>
        <v/>
      </c>
      <c r="C54" s="12" t="str">
        <f t="shared" si="4"/>
        <v/>
      </c>
      <c r="D54" s="129" t="str">
        <f t="shared" si="3"/>
        <v/>
      </c>
      <c r="E54" s="10"/>
      <c r="F54" s="138"/>
      <c r="G54" s="138"/>
      <c r="H54" s="138"/>
      <c r="I54" s="139"/>
      <c r="J54" s="139"/>
      <c r="K54" s="140"/>
      <c r="L54" s="140"/>
      <c r="M54" s="140"/>
      <c r="N54" s="140"/>
      <c r="O54" s="140"/>
      <c r="P54" s="140"/>
      <c r="Q54" s="140"/>
      <c r="R54" s="140"/>
      <c r="S54" s="140"/>
      <c r="T54" s="10"/>
      <c r="U54" s="10"/>
      <c r="V54" s="10"/>
      <c r="W54" s="10"/>
      <c r="X54" s="10"/>
      <c r="Y54" s="10"/>
      <c r="Z54" s="10"/>
      <c r="AA54" s="10"/>
    </row>
    <row r="55" spans="1:27" x14ac:dyDescent="0.35">
      <c r="A55" s="132"/>
      <c r="B55" s="11" t="str">
        <f>IF(ISBLANK(A55),"",INDEX(PlantList!B:B,MATCH(A55,PlantList!C:C,0)))</f>
        <v/>
      </c>
      <c r="C55" s="12" t="str">
        <f t="shared" si="4"/>
        <v/>
      </c>
      <c r="D55" s="129" t="str">
        <f t="shared" si="3"/>
        <v/>
      </c>
      <c r="E55" s="10"/>
      <c r="F55" s="138"/>
      <c r="G55" s="138"/>
      <c r="H55" s="138"/>
      <c r="I55" s="139"/>
      <c r="J55" s="139"/>
      <c r="K55" s="140"/>
      <c r="L55" s="140"/>
      <c r="M55" s="140"/>
      <c r="N55" s="140"/>
      <c r="O55" s="140"/>
      <c r="P55" s="140"/>
      <c r="Q55" s="140"/>
      <c r="R55" s="140"/>
      <c r="S55" s="140"/>
      <c r="T55" s="10"/>
      <c r="U55" s="10"/>
      <c r="V55" s="10"/>
      <c r="W55" s="10"/>
      <c r="X55" s="10"/>
      <c r="Y55" s="10"/>
      <c r="Z55" s="10"/>
      <c r="AA55" s="10"/>
    </row>
    <row r="56" spans="1:27" x14ac:dyDescent="0.35">
      <c r="A56" s="132"/>
      <c r="B56" s="11" t="str">
        <f>IF(ISBLANK(A56),"",INDEX(PlantList!B:B,MATCH(A56,PlantList!C:C,0)))</f>
        <v/>
      </c>
      <c r="C56" s="12" t="str">
        <f t="shared" si="4"/>
        <v/>
      </c>
      <c r="D56" s="129" t="str">
        <f t="shared" si="3"/>
        <v/>
      </c>
      <c r="E56" s="10"/>
      <c r="F56" s="138"/>
      <c r="G56" s="138"/>
      <c r="H56" s="138"/>
      <c r="I56" s="139"/>
      <c r="J56" s="139"/>
      <c r="K56" s="140"/>
      <c r="L56" s="140"/>
      <c r="M56" s="140"/>
      <c r="N56" s="140"/>
      <c r="O56" s="140"/>
      <c r="P56" s="140"/>
      <c r="Q56" s="140"/>
      <c r="R56" s="140"/>
      <c r="S56" s="140"/>
      <c r="T56" s="10"/>
      <c r="U56" s="10"/>
      <c r="V56" s="10"/>
      <c r="W56" s="10"/>
      <c r="X56" s="10"/>
      <c r="Y56" s="10"/>
      <c r="Z56" s="10"/>
      <c r="AA56" s="10"/>
    </row>
    <row r="57" spans="1:27" x14ac:dyDescent="0.35">
      <c r="A57" s="132"/>
      <c r="B57" s="11" t="str">
        <f>IF(ISBLANK(A57),"",INDEX(PlantList!B:B,MATCH(A57,PlantList!C:C,0)))</f>
        <v/>
      </c>
      <c r="C57" s="12" t="str">
        <f t="shared" si="4"/>
        <v/>
      </c>
      <c r="D57" s="129" t="str">
        <f t="shared" si="3"/>
        <v/>
      </c>
      <c r="E57" s="10"/>
      <c r="F57" s="138"/>
      <c r="G57" s="138"/>
      <c r="H57" s="138"/>
      <c r="I57" s="139"/>
      <c r="J57" s="139"/>
      <c r="K57" s="140"/>
      <c r="L57" s="140"/>
      <c r="M57" s="140"/>
      <c r="N57" s="140"/>
      <c r="O57" s="140"/>
      <c r="P57" s="140"/>
      <c r="Q57" s="140"/>
      <c r="R57" s="140"/>
      <c r="S57" s="140"/>
      <c r="T57" s="10"/>
      <c r="U57" s="10"/>
      <c r="V57" s="10"/>
      <c r="W57" s="10"/>
      <c r="X57" s="10"/>
      <c r="Y57" s="10"/>
      <c r="Z57" s="10"/>
      <c r="AA57" s="10"/>
    </row>
    <row r="58" spans="1:27" x14ac:dyDescent="0.35">
      <c r="A58" s="132"/>
      <c r="B58" s="11" t="str">
        <f>IF(ISBLANK(A58),"",INDEX(PlantList!B:B,MATCH(A58,PlantList!C:C,0)))</f>
        <v/>
      </c>
      <c r="C58" s="12" t="str">
        <f t="shared" si="4"/>
        <v/>
      </c>
      <c r="D58" s="129" t="str">
        <f t="shared" si="3"/>
        <v/>
      </c>
      <c r="E58" s="10"/>
      <c r="F58" s="138"/>
      <c r="G58" s="138"/>
      <c r="H58" s="138"/>
      <c r="I58" s="139"/>
      <c r="J58" s="139"/>
      <c r="K58" s="140"/>
      <c r="L58" s="140"/>
      <c r="M58" s="140"/>
      <c r="N58" s="140"/>
      <c r="O58" s="140"/>
      <c r="P58" s="140"/>
      <c r="Q58" s="140"/>
      <c r="R58" s="140"/>
      <c r="S58" s="140"/>
      <c r="T58" s="10"/>
      <c r="U58" s="10"/>
      <c r="V58" s="10"/>
      <c r="W58" s="10"/>
      <c r="X58" s="10"/>
      <c r="Y58" s="10"/>
      <c r="Z58" s="10"/>
      <c r="AA58" s="10"/>
    </row>
    <row r="59" spans="1:27" x14ac:dyDescent="0.35">
      <c r="A59" s="132"/>
      <c r="B59" s="11" t="str">
        <f>IF(ISBLANK(A59),"",INDEX(PlantList!B:B,MATCH(A59,PlantList!C:C,0)))</f>
        <v/>
      </c>
      <c r="C59" s="12" t="str">
        <f t="shared" si="4"/>
        <v/>
      </c>
      <c r="D59" s="129" t="str">
        <f t="shared" si="3"/>
        <v/>
      </c>
      <c r="E59" s="10"/>
      <c r="F59" s="138"/>
      <c r="G59" s="138"/>
      <c r="H59" s="138"/>
      <c r="I59" s="139"/>
      <c r="J59" s="139"/>
      <c r="K59" s="140"/>
      <c r="L59" s="140"/>
      <c r="M59" s="140"/>
      <c r="N59" s="140"/>
      <c r="O59" s="140"/>
      <c r="P59" s="140"/>
      <c r="Q59" s="140"/>
      <c r="R59" s="140"/>
      <c r="S59" s="140"/>
      <c r="T59" s="10"/>
      <c r="U59" s="10"/>
      <c r="V59" s="10"/>
      <c r="W59" s="10"/>
      <c r="X59" s="10"/>
      <c r="Y59" s="10"/>
      <c r="Z59" s="10"/>
      <c r="AA59" s="10"/>
    </row>
    <row r="60" spans="1:27" x14ac:dyDescent="0.35">
      <c r="A60" s="132"/>
      <c r="B60" s="11" t="str">
        <f>IF(ISBLANK(A60),"",INDEX(PlantList!B:B,MATCH(A60,PlantList!C:C,0)))</f>
        <v/>
      </c>
      <c r="C60" s="12" t="str">
        <f t="shared" si="4"/>
        <v/>
      </c>
      <c r="D60" s="129" t="str">
        <f t="shared" si="3"/>
        <v/>
      </c>
      <c r="E60" s="10"/>
      <c r="F60" s="138"/>
      <c r="G60" s="138"/>
      <c r="H60" s="138"/>
      <c r="I60" s="139"/>
      <c r="J60" s="139"/>
      <c r="K60" s="140"/>
      <c r="L60" s="140"/>
      <c r="M60" s="140"/>
      <c r="N60" s="140"/>
      <c r="O60" s="140"/>
      <c r="P60" s="140"/>
      <c r="Q60" s="140"/>
      <c r="R60" s="140"/>
      <c r="S60" s="140"/>
      <c r="T60" s="10"/>
      <c r="U60" s="10"/>
      <c r="V60" s="10"/>
      <c r="W60" s="10"/>
      <c r="X60" s="10"/>
      <c r="Y60" s="10"/>
      <c r="Z60" s="10"/>
      <c r="AA60" s="10"/>
    </row>
    <row r="61" spans="1:27" x14ac:dyDescent="0.35">
      <c r="A61" s="132"/>
      <c r="B61" s="11" t="str">
        <f>IF(ISBLANK(A61),"",INDEX(PlantList!B:B,MATCH(A61,PlantList!C:C,0)))</f>
        <v/>
      </c>
      <c r="C61" s="12" t="str">
        <f t="shared" si="4"/>
        <v/>
      </c>
      <c r="D61" s="129" t="str">
        <f t="shared" si="3"/>
        <v/>
      </c>
      <c r="E61" s="10"/>
      <c r="F61" s="138"/>
      <c r="G61" s="138"/>
      <c r="H61" s="138"/>
      <c r="I61" s="139"/>
      <c r="J61" s="139"/>
      <c r="K61" s="140"/>
      <c r="L61" s="140"/>
      <c r="M61" s="140"/>
      <c r="N61" s="140"/>
      <c r="O61" s="140"/>
      <c r="P61" s="140"/>
      <c r="Q61" s="140"/>
      <c r="R61" s="140"/>
      <c r="S61" s="140"/>
      <c r="T61" s="10"/>
      <c r="U61" s="10"/>
      <c r="V61" s="10"/>
      <c r="W61" s="10"/>
      <c r="X61" s="10"/>
      <c r="Y61" s="10"/>
      <c r="Z61" s="10"/>
      <c r="AA61" s="10"/>
    </row>
    <row r="62" spans="1:27" x14ac:dyDescent="0.35">
      <c r="A62" s="132"/>
      <c r="B62" s="11" t="str">
        <f>IF(ISBLANK(A62),"",INDEX(PlantList!B:B,MATCH(A62,PlantList!C:C,0)))</f>
        <v/>
      </c>
      <c r="C62" s="12" t="str">
        <f t="shared" si="4"/>
        <v/>
      </c>
      <c r="D62" s="129" t="str">
        <f t="shared" si="3"/>
        <v/>
      </c>
      <c r="E62" s="10"/>
      <c r="F62" s="138"/>
      <c r="G62" s="138"/>
      <c r="H62" s="138"/>
      <c r="I62" s="139"/>
      <c r="J62" s="139"/>
      <c r="K62" s="140"/>
      <c r="L62" s="140"/>
      <c r="M62" s="140"/>
      <c r="N62" s="140"/>
      <c r="O62" s="140"/>
      <c r="P62" s="140"/>
      <c r="Q62" s="140"/>
      <c r="R62" s="140"/>
      <c r="S62" s="140"/>
      <c r="T62" s="10"/>
      <c r="U62" s="10"/>
      <c r="V62" s="10"/>
      <c r="W62" s="10"/>
      <c r="X62" s="10"/>
      <c r="Y62" s="10"/>
      <c r="Z62" s="10"/>
      <c r="AA62" s="10"/>
    </row>
    <row r="63" spans="1:27" x14ac:dyDescent="0.35">
      <c r="A63" s="132"/>
      <c r="B63" s="11" t="str">
        <f>IF(ISBLANK(A63),"",INDEX(PlantList!B:B,MATCH(A63,PlantList!C:C,0)))</f>
        <v/>
      </c>
      <c r="C63" s="12" t="str">
        <f t="shared" si="4"/>
        <v/>
      </c>
      <c r="D63" s="129" t="str">
        <f t="shared" si="3"/>
        <v/>
      </c>
      <c r="E63" s="10"/>
      <c r="F63" s="138"/>
      <c r="G63" s="138"/>
      <c r="H63" s="138"/>
      <c r="I63" s="139"/>
      <c r="J63" s="139"/>
      <c r="K63" s="140"/>
      <c r="L63" s="140"/>
      <c r="M63" s="140"/>
      <c r="N63" s="140"/>
      <c r="O63" s="140"/>
      <c r="P63" s="140"/>
      <c r="Q63" s="140"/>
      <c r="R63" s="140"/>
      <c r="S63" s="140"/>
      <c r="T63" s="10"/>
      <c r="U63" s="10"/>
      <c r="V63" s="10"/>
      <c r="W63" s="10"/>
      <c r="X63" s="10"/>
      <c r="Y63" s="10"/>
      <c r="Z63" s="10"/>
      <c r="AA63" s="10"/>
    </row>
    <row r="64" spans="1:27" x14ac:dyDescent="0.35">
      <c r="A64" s="132"/>
      <c r="B64" s="11" t="str">
        <f>IF(ISBLANK(A64),"",INDEX(PlantList!B:B,MATCH(A64,PlantList!C:C,0)))</f>
        <v/>
      </c>
      <c r="C64" s="12" t="str">
        <f t="shared" si="4"/>
        <v/>
      </c>
      <c r="D64" s="129" t="str">
        <f t="shared" si="3"/>
        <v/>
      </c>
      <c r="E64" s="10"/>
      <c r="F64" s="138"/>
      <c r="G64" s="138"/>
      <c r="H64" s="138"/>
      <c r="I64" s="139"/>
      <c r="J64" s="139"/>
      <c r="K64" s="140"/>
      <c r="L64" s="140"/>
      <c r="M64" s="140"/>
      <c r="N64" s="140"/>
      <c r="O64" s="140"/>
      <c r="P64" s="140"/>
      <c r="Q64" s="140"/>
      <c r="R64" s="140"/>
      <c r="S64" s="140"/>
      <c r="T64" s="10"/>
      <c r="U64" s="10"/>
      <c r="V64" s="10"/>
      <c r="W64" s="10"/>
      <c r="X64" s="10"/>
      <c r="Y64" s="10"/>
      <c r="Z64" s="10"/>
      <c r="AA64" s="10"/>
    </row>
    <row r="65" spans="1:27" x14ac:dyDescent="0.35">
      <c r="A65" s="132"/>
      <c r="B65" s="11" t="str">
        <f>IF(ISBLANK(A65),"",INDEX(PlantList!B:B,MATCH(A65,PlantList!C:C,0)))</f>
        <v/>
      </c>
      <c r="C65" s="12" t="str">
        <f t="shared" si="4"/>
        <v/>
      </c>
      <c r="D65" s="129" t="str">
        <f t="shared" si="3"/>
        <v/>
      </c>
      <c r="E65" s="10"/>
      <c r="F65" s="138"/>
      <c r="G65" s="138"/>
      <c r="H65" s="138"/>
      <c r="I65" s="139"/>
      <c r="J65" s="139"/>
      <c r="K65" s="140"/>
      <c r="L65" s="140"/>
      <c r="M65" s="140"/>
      <c r="N65" s="140"/>
      <c r="O65" s="140"/>
      <c r="P65" s="140"/>
      <c r="Q65" s="140"/>
      <c r="R65" s="140"/>
      <c r="S65" s="140"/>
      <c r="T65" s="10"/>
      <c r="U65" s="10"/>
      <c r="V65" s="10"/>
      <c r="W65" s="10"/>
      <c r="X65" s="10"/>
      <c r="Y65" s="10"/>
      <c r="Z65" s="10"/>
      <c r="AA65" s="10"/>
    </row>
    <row r="66" spans="1:27" x14ac:dyDescent="0.35">
      <c r="A66" s="132"/>
      <c r="B66" s="11" t="str">
        <f>IF(ISBLANK(A66),"",INDEX(PlantList!B:B,MATCH(A66,PlantList!C:C,0)))</f>
        <v/>
      </c>
      <c r="C66" s="12" t="str">
        <f t="shared" si="4"/>
        <v/>
      </c>
      <c r="D66" s="129" t="str">
        <f t="shared" si="3"/>
        <v/>
      </c>
      <c r="E66" s="10"/>
      <c r="F66" s="138"/>
      <c r="G66" s="138"/>
      <c r="H66" s="138"/>
      <c r="I66" s="139"/>
      <c r="J66" s="139"/>
      <c r="K66" s="140"/>
      <c r="L66" s="140"/>
      <c r="M66" s="140"/>
      <c r="N66" s="140"/>
      <c r="O66" s="140"/>
      <c r="P66" s="140"/>
      <c r="Q66" s="140"/>
      <c r="R66" s="140"/>
      <c r="S66" s="140"/>
      <c r="T66" s="10"/>
      <c r="U66" s="10"/>
      <c r="V66" s="10"/>
      <c r="W66" s="10"/>
      <c r="X66" s="10"/>
      <c r="Y66" s="10"/>
      <c r="Z66" s="10"/>
      <c r="AA66" s="10"/>
    </row>
    <row r="67" spans="1:27" x14ac:dyDescent="0.35">
      <c r="A67" s="132"/>
      <c r="B67" s="11" t="str">
        <f>IF(ISBLANK(A67),"",INDEX(PlantList!B:B,MATCH(A67,PlantList!C:C,0)))</f>
        <v/>
      </c>
      <c r="C67" s="12" t="str">
        <f t="shared" si="4"/>
        <v/>
      </c>
      <c r="D67" s="129" t="str">
        <f t="shared" si="3"/>
        <v/>
      </c>
      <c r="E67" s="10"/>
      <c r="F67" s="138"/>
      <c r="G67" s="138"/>
      <c r="H67" s="138"/>
      <c r="I67" s="139"/>
      <c r="J67" s="139"/>
      <c r="K67" s="140"/>
      <c r="L67" s="140"/>
      <c r="M67" s="140"/>
      <c r="N67" s="140"/>
      <c r="O67" s="140"/>
      <c r="P67" s="140"/>
      <c r="Q67" s="140"/>
      <c r="R67" s="140"/>
      <c r="S67" s="140"/>
      <c r="T67" s="10"/>
      <c r="U67" s="10"/>
      <c r="V67" s="10"/>
      <c r="W67" s="10"/>
      <c r="X67" s="10"/>
      <c r="Y67" s="10"/>
      <c r="Z67" s="10"/>
      <c r="AA67" s="10"/>
    </row>
    <row r="68" spans="1:27" x14ac:dyDescent="0.35">
      <c r="A68" s="132"/>
      <c r="B68" s="11" t="str">
        <f>IF(ISBLANK(A68),"",INDEX(PlantList!B:B,MATCH(A68,PlantList!C:C,0)))</f>
        <v/>
      </c>
      <c r="C68" s="12" t="str">
        <f t="shared" si="4"/>
        <v/>
      </c>
      <c r="D68" s="129" t="str">
        <f t="shared" si="3"/>
        <v/>
      </c>
      <c r="E68" s="10"/>
      <c r="F68" s="138"/>
      <c r="G68" s="138"/>
      <c r="H68" s="138"/>
      <c r="I68" s="139"/>
      <c r="J68" s="139"/>
      <c r="K68" s="140"/>
      <c r="L68" s="140"/>
      <c r="M68" s="140"/>
      <c r="N68" s="140"/>
      <c r="O68" s="140"/>
      <c r="P68" s="140"/>
      <c r="Q68" s="140"/>
      <c r="R68" s="140"/>
      <c r="S68" s="140"/>
      <c r="T68" s="10"/>
      <c r="U68" s="10"/>
      <c r="V68" s="10"/>
      <c r="W68" s="10"/>
      <c r="X68" s="10"/>
      <c r="Y68" s="10"/>
      <c r="Z68" s="10"/>
      <c r="AA68" s="10"/>
    </row>
    <row r="69" spans="1:27" x14ac:dyDescent="0.35">
      <c r="A69" s="132"/>
      <c r="B69" s="11" t="str">
        <f>IF(ISBLANK(A69),"",INDEX(PlantList!B:B,MATCH(A69,PlantList!C:C,0)))</f>
        <v/>
      </c>
      <c r="C69" s="12" t="str">
        <f t="shared" si="4"/>
        <v/>
      </c>
      <c r="D69" s="129" t="str">
        <f t="shared" si="3"/>
        <v/>
      </c>
      <c r="E69" s="10"/>
      <c r="F69" s="138"/>
      <c r="G69" s="138"/>
      <c r="H69" s="138"/>
      <c r="I69" s="139"/>
      <c r="J69" s="139"/>
      <c r="K69" s="140"/>
      <c r="L69" s="140"/>
      <c r="M69" s="140"/>
      <c r="N69" s="140"/>
      <c r="O69" s="140"/>
      <c r="P69" s="140"/>
      <c r="Q69" s="140"/>
      <c r="R69" s="140"/>
      <c r="S69" s="140"/>
      <c r="T69" s="10"/>
      <c r="U69" s="10"/>
      <c r="V69" s="10"/>
      <c r="W69" s="10"/>
      <c r="X69" s="10"/>
      <c r="Y69" s="10"/>
      <c r="Z69" s="10"/>
      <c r="AA69" s="10"/>
    </row>
    <row r="70" spans="1:27" x14ac:dyDescent="0.35">
      <c r="A70" s="132"/>
      <c r="B70" s="11" t="str">
        <f>IF(ISBLANK(A70),"",INDEX(PlantList!B:B,MATCH(A70,PlantList!C:C,0)))</f>
        <v/>
      </c>
      <c r="C70" s="12" t="str">
        <f t="shared" ref="C70:C100" si="5">IF(ISBLANK(A70),"",SUM(F70:Q70)+COUNT(R70:AC70))</f>
        <v/>
      </c>
      <c r="D70" s="129" t="str">
        <f t="shared" si="3"/>
        <v/>
      </c>
      <c r="E70" s="10"/>
      <c r="F70" s="138"/>
      <c r="G70" s="138"/>
      <c r="H70" s="138"/>
      <c r="I70" s="139"/>
      <c r="J70" s="139"/>
      <c r="K70" s="140"/>
      <c r="L70" s="140"/>
      <c r="M70" s="140"/>
      <c r="N70" s="140"/>
      <c r="O70" s="140"/>
      <c r="P70" s="140"/>
      <c r="Q70" s="140"/>
      <c r="R70" s="140"/>
      <c r="S70" s="140"/>
      <c r="T70" s="10"/>
      <c r="U70" s="10"/>
      <c r="V70" s="10"/>
      <c r="W70" s="10"/>
      <c r="X70" s="10"/>
      <c r="Y70" s="10"/>
      <c r="Z70" s="10"/>
      <c r="AA70" s="10"/>
    </row>
    <row r="71" spans="1:27" x14ac:dyDescent="0.35">
      <c r="A71" s="132"/>
      <c r="B71" s="11" t="str">
        <f>IF(ISBLANK(A71),"",INDEX(PlantList!B:B,MATCH(A71,PlantList!C:C,0)))</f>
        <v/>
      </c>
      <c r="C71" s="12" t="str">
        <f t="shared" si="5"/>
        <v/>
      </c>
      <c r="D71" s="129" t="str">
        <f t="shared" ref="D71:D100" si="6">IF(COUNT(S71:ZZ71)&gt;0,COUNT(S71:ZZ71),"")</f>
        <v/>
      </c>
      <c r="E71" s="10"/>
      <c r="F71" s="138"/>
      <c r="G71" s="138"/>
      <c r="H71" s="138"/>
      <c r="I71" s="139"/>
      <c r="J71" s="139"/>
      <c r="K71" s="140"/>
      <c r="L71" s="140"/>
      <c r="M71" s="140"/>
      <c r="N71" s="140"/>
      <c r="O71" s="140"/>
      <c r="P71" s="140"/>
      <c r="Q71" s="140"/>
      <c r="R71" s="140"/>
      <c r="S71" s="140"/>
      <c r="T71" s="10"/>
      <c r="U71" s="10"/>
      <c r="V71" s="10"/>
      <c r="W71" s="10"/>
      <c r="X71" s="10"/>
      <c r="Y71" s="10"/>
      <c r="Z71" s="10"/>
      <c r="AA71" s="10"/>
    </row>
    <row r="72" spans="1:27" x14ac:dyDescent="0.35">
      <c r="A72" s="132"/>
      <c r="B72" s="11" t="str">
        <f>IF(ISBLANK(A72),"",INDEX(PlantList!B:B,MATCH(A72,PlantList!C:C,0)))</f>
        <v/>
      </c>
      <c r="C72" s="12" t="str">
        <f t="shared" si="5"/>
        <v/>
      </c>
      <c r="D72" s="129" t="str">
        <f t="shared" si="6"/>
        <v/>
      </c>
      <c r="E72" s="10"/>
      <c r="F72" s="138"/>
      <c r="G72" s="138"/>
      <c r="H72" s="138"/>
      <c r="I72" s="139"/>
      <c r="J72" s="139"/>
      <c r="K72" s="140"/>
      <c r="L72" s="140"/>
      <c r="M72" s="140"/>
      <c r="N72" s="140"/>
      <c r="O72" s="140"/>
      <c r="P72" s="140"/>
      <c r="Q72" s="140"/>
      <c r="R72" s="140"/>
      <c r="S72" s="140"/>
      <c r="T72" s="10"/>
      <c r="U72" s="10"/>
      <c r="V72" s="10"/>
      <c r="W72" s="10"/>
      <c r="X72" s="10"/>
      <c r="Y72" s="10"/>
      <c r="Z72" s="10"/>
      <c r="AA72" s="10"/>
    </row>
    <row r="73" spans="1:27" x14ac:dyDescent="0.35">
      <c r="A73" s="132"/>
      <c r="B73" s="11" t="str">
        <f>IF(ISBLANK(A73),"",INDEX(PlantList!B:B,MATCH(A73,PlantList!C:C,0)))</f>
        <v/>
      </c>
      <c r="C73" s="12" t="str">
        <f t="shared" si="5"/>
        <v/>
      </c>
      <c r="D73" s="129" t="str">
        <f t="shared" si="6"/>
        <v/>
      </c>
      <c r="E73" s="10"/>
      <c r="F73" s="138"/>
      <c r="G73" s="138"/>
      <c r="H73" s="138"/>
      <c r="I73" s="139"/>
      <c r="J73" s="139"/>
      <c r="K73" s="140"/>
      <c r="L73" s="140"/>
      <c r="M73" s="140"/>
      <c r="N73" s="140"/>
      <c r="O73" s="140"/>
      <c r="P73" s="140"/>
      <c r="Q73" s="140"/>
      <c r="R73" s="140"/>
      <c r="S73" s="140"/>
      <c r="T73" s="10"/>
      <c r="U73" s="10"/>
      <c r="V73" s="10"/>
      <c r="W73" s="10"/>
      <c r="X73" s="10"/>
      <c r="Y73" s="10"/>
      <c r="Z73" s="10"/>
      <c r="AA73" s="10"/>
    </row>
    <row r="74" spans="1:27" x14ac:dyDescent="0.35">
      <c r="A74" s="132"/>
      <c r="B74" s="11" t="str">
        <f>IF(ISBLANK(A74),"",INDEX(PlantList!B:B,MATCH(A74,PlantList!C:C,0)))</f>
        <v/>
      </c>
      <c r="C74" s="12" t="str">
        <f t="shared" si="5"/>
        <v/>
      </c>
      <c r="D74" s="129" t="str">
        <f t="shared" si="6"/>
        <v/>
      </c>
      <c r="E74" s="10"/>
      <c r="F74" s="138"/>
      <c r="G74" s="138"/>
      <c r="H74" s="138"/>
      <c r="I74" s="139"/>
      <c r="J74" s="139"/>
      <c r="K74" s="140"/>
      <c r="L74" s="140"/>
      <c r="M74" s="140"/>
      <c r="N74" s="140"/>
      <c r="O74" s="140"/>
      <c r="P74" s="140"/>
      <c r="Q74" s="140"/>
      <c r="R74" s="140"/>
      <c r="S74" s="140"/>
      <c r="T74" s="10"/>
      <c r="U74" s="10"/>
      <c r="V74" s="10"/>
      <c r="W74" s="10"/>
      <c r="X74" s="10"/>
      <c r="Y74" s="10"/>
      <c r="Z74" s="10"/>
      <c r="AA74" s="10"/>
    </row>
    <row r="75" spans="1:27" x14ac:dyDescent="0.35">
      <c r="A75" s="132"/>
      <c r="B75" s="11" t="str">
        <f>IF(ISBLANK(A75),"",INDEX(PlantList!B:B,MATCH(A75,PlantList!C:C,0)))</f>
        <v/>
      </c>
      <c r="C75" s="12" t="str">
        <f t="shared" si="5"/>
        <v/>
      </c>
      <c r="D75" s="129" t="str">
        <f t="shared" si="6"/>
        <v/>
      </c>
      <c r="E75" s="10"/>
      <c r="F75" s="138"/>
      <c r="G75" s="138"/>
      <c r="H75" s="138"/>
      <c r="I75" s="139"/>
      <c r="J75" s="139"/>
      <c r="K75" s="140"/>
      <c r="L75" s="140"/>
      <c r="M75" s="140"/>
      <c r="N75" s="140"/>
      <c r="O75" s="140"/>
      <c r="P75" s="140"/>
      <c r="Q75" s="140"/>
      <c r="R75" s="140"/>
      <c r="S75" s="140"/>
      <c r="T75" s="10"/>
      <c r="U75" s="10"/>
      <c r="V75" s="10"/>
      <c r="W75" s="10"/>
      <c r="X75" s="10"/>
      <c r="Y75" s="10"/>
      <c r="Z75" s="10"/>
      <c r="AA75" s="10"/>
    </row>
    <row r="76" spans="1:27" x14ac:dyDescent="0.35">
      <c r="A76" s="132"/>
      <c r="B76" s="11" t="str">
        <f>IF(ISBLANK(A76),"",INDEX(PlantList!B:B,MATCH(A76,PlantList!C:C,0)))</f>
        <v/>
      </c>
      <c r="C76" s="12" t="str">
        <f t="shared" si="5"/>
        <v/>
      </c>
      <c r="D76" s="129" t="str">
        <f t="shared" si="6"/>
        <v/>
      </c>
      <c r="E76" s="10"/>
      <c r="F76" s="138"/>
      <c r="G76" s="138"/>
      <c r="H76" s="138"/>
      <c r="I76" s="139"/>
      <c r="J76" s="139"/>
      <c r="K76" s="140"/>
      <c r="L76" s="140"/>
      <c r="M76" s="140"/>
      <c r="N76" s="140"/>
      <c r="O76" s="140"/>
      <c r="P76" s="140"/>
      <c r="Q76" s="140"/>
      <c r="R76" s="140"/>
      <c r="S76" s="140"/>
      <c r="T76" s="10"/>
      <c r="U76" s="10"/>
      <c r="V76" s="10"/>
      <c r="W76" s="10"/>
      <c r="X76" s="10"/>
      <c r="Y76" s="10"/>
      <c r="Z76" s="10"/>
      <c r="AA76" s="10"/>
    </row>
    <row r="77" spans="1:27" x14ac:dyDescent="0.35">
      <c r="A77" s="132"/>
      <c r="B77" s="11" t="str">
        <f>IF(ISBLANK(A77),"",INDEX(PlantList!B:B,MATCH(A77,PlantList!C:C,0)))</f>
        <v/>
      </c>
      <c r="C77" s="12" t="str">
        <f t="shared" si="5"/>
        <v/>
      </c>
      <c r="D77" s="129" t="str">
        <f t="shared" si="6"/>
        <v/>
      </c>
      <c r="E77" s="10"/>
      <c r="F77" s="138"/>
      <c r="G77" s="138"/>
      <c r="H77" s="138"/>
      <c r="I77" s="139"/>
      <c r="J77" s="139"/>
      <c r="K77" s="140"/>
      <c r="L77" s="140"/>
      <c r="M77" s="140"/>
      <c r="N77" s="140"/>
      <c r="O77" s="140"/>
      <c r="P77" s="140"/>
      <c r="Q77" s="140"/>
      <c r="R77" s="140"/>
      <c r="S77" s="140"/>
      <c r="T77" s="10"/>
      <c r="U77" s="10"/>
      <c r="V77" s="10"/>
      <c r="W77" s="10"/>
      <c r="X77" s="10"/>
      <c r="Y77" s="10"/>
      <c r="Z77" s="10"/>
      <c r="AA77" s="10"/>
    </row>
    <row r="78" spans="1:27" x14ac:dyDescent="0.35">
      <c r="A78" s="132"/>
      <c r="B78" s="11" t="str">
        <f>IF(ISBLANK(A78),"",INDEX(PlantList!B:B,MATCH(A78,PlantList!C:C,0)))</f>
        <v/>
      </c>
      <c r="C78" s="12" t="str">
        <f t="shared" si="5"/>
        <v/>
      </c>
      <c r="D78" s="129" t="str">
        <f t="shared" si="6"/>
        <v/>
      </c>
      <c r="E78" s="10"/>
      <c r="F78" s="138"/>
      <c r="G78" s="138"/>
      <c r="H78" s="138"/>
      <c r="I78" s="139"/>
      <c r="J78" s="139"/>
      <c r="K78" s="140"/>
      <c r="L78" s="140"/>
      <c r="M78" s="140"/>
      <c r="N78" s="140"/>
      <c r="O78" s="140"/>
      <c r="P78" s="140"/>
      <c r="Q78" s="140"/>
      <c r="R78" s="140"/>
      <c r="S78" s="140"/>
      <c r="T78" s="10"/>
      <c r="U78" s="10"/>
      <c r="V78" s="10"/>
      <c r="W78" s="10"/>
      <c r="X78" s="10"/>
      <c r="Y78" s="10"/>
      <c r="Z78" s="10"/>
      <c r="AA78" s="10"/>
    </row>
    <row r="79" spans="1:27" x14ac:dyDescent="0.35">
      <c r="A79" s="132"/>
      <c r="B79" s="11" t="str">
        <f>IF(ISBLANK(A79),"",INDEX(PlantList!B:B,MATCH(A79,PlantList!C:C,0)))</f>
        <v/>
      </c>
      <c r="C79" s="12" t="str">
        <f t="shared" si="5"/>
        <v/>
      </c>
      <c r="D79" s="129" t="str">
        <f t="shared" si="6"/>
        <v/>
      </c>
      <c r="E79" s="10"/>
      <c r="F79" s="138"/>
      <c r="G79" s="138"/>
      <c r="H79" s="138"/>
      <c r="I79" s="139"/>
      <c r="J79" s="139"/>
      <c r="K79" s="140"/>
      <c r="L79" s="140"/>
      <c r="M79" s="140"/>
      <c r="N79" s="140"/>
      <c r="O79" s="140"/>
      <c r="P79" s="140"/>
      <c r="Q79" s="140"/>
      <c r="R79" s="140"/>
      <c r="S79" s="140"/>
      <c r="T79" s="10"/>
      <c r="U79" s="10"/>
      <c r="V79" s="10"/>
      <c r="W79" s="10"/>
      <c r="X79" s="10"/>
      <c r="Y79" s="10"/>
      <c r="Z79" s="10"/>
      <c r="AA79" s="10"/>
    </row>
    <row r="80" spans="1:27" x14ac:dyDescent="0.35">
      <c r="A80" s="132"/>
      <c r="B80" s="11" t="str">
        <f>IF(ISBLANK(A80),"",INDEX(PlantList!B:B,MATCH(A80,PlantList!C:C,0)))</f>
        <v/>
      </c>
      <c r="C80" s="12" t="str">
        <f t="shared" si="5"/>
        <v/>
      </c>
      <c r="D80" s="129" t="str">
        <f t="shared" si="6"/>
        <v/>
      </c>
      <c r="E80" s="10"/>
      <c r="F80" s="138"/>
      <c r="G80" s="138"/>
      <c r="H80" s="138"/>
      <c r="I80" s="139"/>
      <c r="J80" s="139"/>
      <c r="K80" s="140"/>
      <c r="L80" s="140"/>
      <c r="M80" s="140"/>
      <c r="N80" s="140"/>
      <c r="O80" s="140"/>
      <c r="P80" s="140"/>
      <c r="Q80" s="140"/>
      <c r="R80" s="140"/>
      <c r="S80" s="140"/>
      <c r="T80" s="10"/>
      <c r="U80" s="10"/>
      <c r="V80" s="10"/>
      <c r="W80" s="10"/>
      <c r="X80" s="10"/>
      <c r="Y80" s="10"/>
      <c r="Z80" s="10"/>
      <c r="AA80" s="10"/>
    </row>
    <row r="81" spans="1:27" x14ac:dyDescent="0.35">
      <c r="A81" s="132"/>
      <c r="B81" s="11" t="str">
        <f>IF(ISBLANK(A81),"",INDEX(PlantList!B:B,MATCH(A81,PlantList!C:C,0)))</f>
        <v/>
      </c>
      <c r="C81" s="12" t="str">
        <f t="shared" si="5"/>
        <v/>
      </c>
      <c r="D81" s="129" t="str">
        <f t="shared" si="6"/>
        <v/>
      </c>
      <c r="E81" s="10"/>
      <c r="F81" s="138"/>
      <c r="G81" s="138"/>
      <c r="H81" s="138"/>
      <c r="I81" s="139"/>
      <c r="J81" s="139"/>
      <c r="K81" s="140"/>
      <c r="L81" s="140"/>
      <c r="M81" s="140"/>
      <c r="N81" s="140"/>
      <c r="O81" s="140"/>
      <c r="P81" s="140"/>
      <c r="Q81" s="140"/>
      <c r="R81" s="140"/>
      <c r="S81" s="140"/>
      <c r="T81" s="10"/>
      <c r="U81" s="10"/>
      <c r="V81" s="10"/>
      <c r="W81" s="10"/>
      <c r="X81" s="10"/>
      <c r="Y81" s="10"/>
      <c r="Z81" s="10"/>
      <c r="AA81" s="10"/>
    </row>
    <row r="82" spans="1:27" x14ac:dyDescent="0.35">
      <c r="A82" s="132"/>
      <c r="B82" s="11" t="str">
        <f>IF(ISBLANK(A82),"",INDEX(PlantList!B:B,MATCH(A82,PlantList!C:C,0)))</f>
        <v/>
      </c>
      <c r="C82" s="12" t="str">
        <f t="shared" si="5"/>
        <v/>
      </c>
      <c r="D82" s="129" t="str">
        <f t="shared" si="6"/>
        <v/>
      </c>
      <c r="E82" s="10"/>
      <c r="F82" s="138"/>
      <c r="G82" s="138"/>
      <c r="H82" s="138"/>
      <c r="I82" s="139"/>
      <c r="J82" s="139"/>
      <c r="K82" s="140"/>
      <c r="L82" s="140"/>
      <c r="M82" s="140"/>
      <c r="N82" s="140"/>
      <c r="O82" s="140"/>
      <c r="P82" s="140"/>
      <c r="Q82" s="140"/>
      <c r="R82" s="140"/>
      <c r="S82" s="140"/>
      <c r="T82" s="10"/>
      <c r="U82" s="10"/>
      <c r="V82" s="10"/>
      <c r="W82" s="10"/>
      <c r="X82" s="10"/>
      <c r="Y82" s="10"/>
      <c r="Z82" s="10"/>
      <c r="AA82" s="10"/>
    </row>
    <row r="83" spans="1:27" x14ac:dyDescent="0.35">
      <c r="A83" s="132"/>
      <c r="B83" s="11" t="str">
        <f>IF(ISBLANK(A83),"",INDEX(PlantList!B:B,MATCH(A83,PlantList!C:C,0)))</f>
        <v/>
      </c>
      <c r="C83" s="12" t="str">
        <f t="shared" si="5"/>
        <v/>
      </c>
      <c r="D83" s="129" t="str">
        <f t="shared" si="6"/>
        <v/>
      </c>
      <c r="E83" s="10"/>
      <c r="F83" s="138"/>
      <c r="G83" s="138"/>
      <c r="H83" s="138"/>
      <c r="I83" s="139"/>
      <c r="J83" s="139"/>
      <c r="K83" s="140"/>
      <c r="L83" s="140"/>
      <c r="M83" s="140"/>
      <c r="N83" s="140"/>
      <c r="O83" s="140"/>
      <c r="P83" s="140"/>
      <c r="Q83" s="140"/>
      <c r="R83" s="140"/>
      <c r="S83" s="140"/>
      <c r="T83" s="10"/>
      <c r="U83" s="10"/>
      <c r="V83" s="10"/>
      <c r="W83" s="10"/>
      <c r="X83" s="10"/>
      <c r="Y83" s="10"/>
      <c r="Z83" s="10"/>
      <c r="AA83" s="10"/>
    </row>
    <row r="84" spans="1:27" x14ac:dyDescent="0.35">
      <c r="A84" s="132"/>
      <c r="B84" s="11" t="str">
        <f>IF(ISBLANK(A84),"",INDEX(PlantList!B:B,MATCH(A84,PlantList!C:C,0)))</f>
        <v/>
      </c>
      <c r="C84" s="12" t="str">
        <f t="shared" si="5"/>
        <v/>
      </c>
      <c r="D84" s="129" t="str">
        <f t="shared" si="6"/>
        <v/>
      </c>
      <c r="E84" s="10"/>
      <c r="F84" s="138"/>
      <c r="G84" s="138"/>
      <c r="H84" s="138"/>
      <c r="I84" s="139"/>
      <c r="J84" s="139"/>
      <c r="K84" s="140"/>
      <c r="L84" s="140"/>
      <c r="M84" s="140"/>
      <c r="N84" s="140"/>
      <c r="O84" s="140"/>
      <c r="P84" s="140"/>
      <c r="Q84" s="140"/>
      <c r="R84" s="140"/>
      <c r="S84" s="140"/>
      <c r="T84" s="10"/>
      <c r="U84" s="10"/>
      <c r="V84" s="10"/>
      <c r="W84" s="10"/>
      <c r="X84" s="10"/>
      <c r="Y84" s="10"/>
      <c r="Z84" s="10"/>
      <c r="AA84" s="10"/>
    </row>
    <row r="85" spans="1:27" x14ac:dyDescent="0.35">
      <c r="A85" s="132"/>
      <c r="B85" s="11" t="str">
        <f>IF(ISBLANK(A85),"",INDEX(PlantList!B:B,MATCH(A85,PlantList!C:C,0)))</f>
        <v/>
      </c>
      <c r="C85" s="12" t="str">
        <f t="shared" si="5"/>
        <v/>
      </c>
      <c r="D85" s="129" t="str">
        <f t="shared" si="6"/>
        <v/>
      </c>
      <c r="E85" s="10"/>
      <c r="F85" s="138"/>
      <c r="G85" s="138"/>
      <c r="H85" s="138"/>
      <c r="I85" s="139"/>
      <c r="J85" s="139"/>
      <c r="K85" s="140"/>
      <c r="L85" s="140"/>
      <c r="M85" s="140"/>
      <c r="N85" s="140"/>
      <c r="O85" s="140"/>
      <c r="P85" s="140"/>
      <c r="Q85" s="140"/>
      <c r="R85" s="140"/>
      <c r="S85" s="140"/>
      <c r="T85" s="10"/>
      <c r="U85" s="10"/>
      <c r="V85" s="10"/>
      <c r="W85" s="10"/>
      <c r="X85" s="10"/>
      <c r="Y85" s="10"/>
      <c r="Z85" s="10"/>
      <c r="AA85" s="10"/>
    </row>
    <row r="86" spans="1:27" x14ac:dyDescent="0.35">
      <c r="A86" s="132"/>
      <c r="B86" s="11" t="str">
        <f>IF(ISBLANK(A86),"",INDEX(PlantList!B:B,MATCH(A86,PlantList!C:C,0)))</f>
        <v/>
      </c>
      <c r="C86" s="12" t="str">
        <f t="shared" si="5"/>
        <v/>
      </c>
      <c r="D86" s="129" t="str">
        <f t="shared" si="6"/>
        <v/>
      </c>
      <c r="E86" s="10"/>
      <c r="F86" s="138"/>
      <c r="G86" s="138"/>
      <c r="H86" s="138"/>
      <c r="I86" s="139"/>
      <c r="J86" s="139"/>
      <c r="K86" s="140"/>
      <c r="L86" s="140"/>
      <c r="M86" s="140"/>
      <c r="N86" s="140"/>
      <c r="O86" s="140"/>
      <c r="P86" s="140"/>
      <c r="Q86" s="140"/>
      <c r="R86" s="140"/>
      <c r="S86" s="140"/>
      <c r="T86" s="10"/>
      <c r="U86" s="10"/>
      <c r="V86" s="10"/>
      <c r="W86" s="10"/>
      <c r="X86" s="10"/>
      <c r="Y86" s="10"/>
      <c r="Z86" s="10"/>
      <c r="AA86" s="10"/>
    </row>
    <row r="87" spans="1:27" x14ac:dyDescent="0.35">
      <c r="A87" s="132"/>
      <c r="B87" s="11" t="str">
        <f>IF(ISBLANK(A87),"",INDEX(PlantList!B:B,MATCH(A87,PlantList!C:C,0)))</f>
        <v/>
      </c>
      <c r="C87" s="12" t="str">
        <f t="shared" si="5"/>
        <v/>
      </c>
      <c r="D87" s="129" t="str">
        <f t="shared" si="6"/>
        <v/>
      </c>
      <c r="E87" s="10"/>
      <c r="F87" s="138"/>
      <c r="G87" s="138"/>
      <c r="H87" s="138"/>
      <c r="I87" s="139"/>
      <c r="J87" s="139"/>
      <c r="K87" s="140"/>
      <c r="L87" s="140"/>
      <c r="M87" s="140"/>
      <c r="N87" s="140"/>
      <c r="O87" s="140"/>
      <c r="P87" s="140"/>
      <c r="Q87" s="140"/>
      <c r="R87" s="140"/>
      <c r="S87" s="140"/>
      <c r="T87" s="10"/>
      <c r="U87" s="10"/>
      <c r="V87" s="10"/>
      <c r="W87" s="10"/>
      <c r="X87" s="10"/>
      <c r="Y87" s="10"/>
      <c r="Z87" s="10"/>
      <c r="AA87" s="10"/>
    </row>
    <row r="88" spans="1:27" x14ac:dyDescent="0.35">
      <c r="A88" s="132"/>
      <c r="B88" s="11" t="str">
        <f>IF(ISBLANK(A88),"",INDEX(PlantList!B:B,MATCH(A88,PlantList!C:C,0)))</f>
        <v/>
      </c>
      <c r="C88" s="12" t="str">
        <f t="shared" si="5"/>
        <v/>
      </c>
      <c r="D88" s="129" t="str">
        <f t="shared" si="6"/>
        <v/>
      </c>
      <c r="E88" s="10"/>
      <c r="F88" s="138"/>
      <c r="G88" s="138"/>
      <c r="H88" s="138"/>
      <c r="I88" s="139"/>
      <c r="J88" s="139"/>
      <c r="K88" s="140"/>
      <c r="L88" s="140"/>
      <c r="M88" s="140"/>
      <c r="N88" s="140"/>
      <c r="O88" s="140"/>
      <c r="P88" s="140"/>
      <c r="Q88" s="140"/>
      <c r="R88" s="140"/>
      <c r="S88" s="140"/>
      <c r="T88" s="10"/>
      <c r="U88" s="10"/>
      <c r="V88" s="10"/>
      <c r="W88" s="10"/>
      <c r="X88" s="10"/>
      <c r="Y88" s="10"/>
      <c r="Z88" s="10"/>
      <c r="AA88" s="10"/>
    </row>
    <row r="89" spans="1:27" x14ac:dyDescent="0.35">
      <c r="A89" s="132"/>
      <c r="B89" s="11" t="str">
        <f>IF(ISBLANK(A89),"",INDEX(PlantList!B:B,MATCH(A89,PlantList!C:C,0)))</f>
        <v/>
      </c>
      <c r="C89" s="12" t="str">
        <f t="shared" si="5"/>
        <v/>
      </c>
      <c r="D89" s="129" t="str">
        <f t="shared" si="6"/>
        <v/>
      </c>
      <c r="E89" s="10"/>
      <c r="F89" s="138"/>
      <c r="G89" s="138"/>
      <c r="H89" s="138"/>
      <c r="I89" s="139"/>
      <c r="J89" s="139"/>
      <c r="K89" s="140"/>
      <c r="L89" s="140"/>
      <c r="M89" s="140"/>
      <c r="N89" s="140"/>
      <c r="O89" s="140"/>
      <c r="P89" s="140"/>
      <c r="Q89" s="140"/>
      <c r="R89" s="140"/>
      <c r="S89" s="140"/>
      <c r="T89" s="10"/>
      <c r="U89" s="10"/>
      <c r="V89" s="10"/>
      <c r="W89" s="10"/>
      <c r="X89" s="10"/>
      <c r="Y89" s="10"/>
      <c r="Z89" s="10"/>
      <c r="AA89" s="10"/>
    </row>
    <row r="90" spans="1:27" x14ac:dyDescent="0.35">
      <c r="A90" s="132"/>
      <c r="B90" s="11" t="str">
        <f>IF(ISBLANK(A90),"",INDEX(PlantList!B:B,MATCH(A90,PlantList!C:C,0)))</f>
        <v/>
      </c>
      <c r="C90" s="12" t="str">
        <f t="shared" si="5"/>
        <v/>
      </c>
      <c r="D90" s="129" t="str">
        <f t="shared" si="6"/>
        <v/>
      </c>
      <c r="E90" s="10"/>
      <c r="F90" s="138"/>
      <c r="G90" s="138"/>
      <c r="H90" s="138"/>
      <c r="I90" s="139"/>
      <c r="J90" s="139"/>
      <c r="K90" s="140"/>
      <c r="L90" s="140"/>
      <c r="M90" s="140"/>
      <c r="N90" s="140"/>
      <c r="O90" s="140"/>
      <c r="P90" s="140"/>
      <c r="Q90" s="140"/>
      <c r="R90" s="140"/>
      <c r="S90" s="140"/>
      <c r="T90" s="10"/>
      <c r="U90" s="10"/>
      <c r="V90" s="10"/>
      <c r="W90" s="10"/>
      <c r="X90" s="10"/>
      <c r="Y90" s="10"/>
      <c r="Z90" s="10"/>
      <c r="AA90" s="10"/>
    </row>
    <row r="91" spans="1:27" x14ac:dyDescent="0.35">
      <c r="A91" s="132"/>
      <c r="B91" s="11" t="str">
        <f>IF(ISBLANK(A91),"",INDEX(PlantList!B:B,MATCH(A91,PlantList!C:C,0)))</f>
        <v/>
      </c>
      <c r="C91" s="12" t="str">
        <f t="shared" si="5"/>
        <v/>
      </c>
      <c r="D91" s="129" t="str">
        <f t="shared" si="6"/>
        <v/>
      </c>
      <c r="E91" s="10"/>
      <c r="F91" s="138"/>
      <c r="G91" s="138"/>
      <c r="H91" s="138"/>
      <c r="I91" s="139"/>
      <c r="J91" s="139"/>
      <c r="K91" s="140"/>
      <c r="L91" s="140"/>
      <c r="M91" s="140"/>
      <c r="N91" s="140"/>
      <c r="O91" s="140"/>
      <c r="P91" s="140"/>
      <c r="Q91" s="140"/>
      <c r="R91" s="140"/>
      <c r="S91" s="140"/>
      <c r="T91" s="10"/>
      <c r="U91" s="10"/>
      <c r="V91" s="10"/>
      <c r="W91" s="10"/>
      <c r="X91" s="10"/>
      <c r="Y91" s="10"/>
      <c r="Z91" s="10"/>
      <c r="AA91" s="10"/>
    </row>
    <row r="92" spans="1:27" x14ac:dyDescent="0.35">
      <c r="A92" s="132"/>
      <c r="B92" s="11" t="str">
        <f>IF(ISBLANK(A92),"",INDEX(PlantList!B:B,MATCH(A92,PlantList!C:C,0)))</f>
        <v/>
      </c>
      <c r="C92" s="12" t="str">
        <f t="shared" si="5"/>
        <v/>
      </c>
      <c r="D92" s="129" t="str">
        <f t="shared" si="6"/>
        <v/>
      </c>
      <c r="E92" s="10"/>
      <c r="F92" s="138"/>
      <c r="G92" s="138"/>
      <c r="H92" s="138"/>
      <c r="I92" s="139"/>
      <c r="J92" s="139"/>
      <c r="K92" s="140"/>
      <c r="L92" s="140"/>
      <c r="M92" s="140"/>
      <c r="N92" s="140"/>
      <c r="O92" s="140"/>
      <c r="P92" s="140"/>
      <c r="Q92" s="140"/>
      <c r="R92" s="140"/>
      <c r="S92" s="140"/>
      <c r="T92" s="10"/>
      <c r="U92" s="10"/>
      <c r="V92" s="10"/>
      <c r="W92" s="10"/>
      <c r="X92" s="10"/>
      <c r="Y92" s="10"/>
      <c r="Z92" s="10"/>
      <c r="AA92" s="10"/>
    </row>
    <row r="93" spans="1:27" x14ac:dyDescent="0.35">
      <c r="A93" s="132"/>
      <c r="B93" s="11" t="str">
        <f>IF(ISBLANK(A93),"",INDEX(PlantList!B:B,MATCH(A93,PlantList!C:C,0)))</f>
        <v/>
      </c>
      <c r="C93" s="12" t="str">
        <f t="shared" si="5"/>
        <v/>
      </c>
      <c r="D93" s="129" t="str">
        <f t="shared" si="6"/>
        <v/>
      </c>
      <c r="E93" s="10"/>
      <c r="F93" s="138"/>
      <c r="G93" s="138"/>
      <c r="H93" s="138"/>
      <c r="I93" s="139"/>
      <c r="J93" s="139"/>
      <c r="K93" s="140"/>
      <c r="L93" s="140"/>
      <c r="M93" s="140"/>
      <c r="N93" s="140"/>
      <c r="O93" s="140"/>
      <c r="P93" s="140"/>
      <c r="Q93" s="140"/>
      <c r="R93" s="140"/>
      <c r="S93" s="140"/>
      <c r="T93" s="10"/>
      <c r="U93" s="10"/>
      <c r="V93" s="10"/>
      <c r="W93" s="10"/>
      <c r="X93" s="10"/>
      <c r="Y93" s="10"/>
      <c r="Z93" s="10"/>
      <c r="AA93" s="10"/>
    </row>
    <row r="94" spans="1:27" x14ac:dyDescent="0.35">
      <c r="A94" s="132"/>
      <c r="B94" s="11" t="str">
        <f>IF(ISBLANK(A94),"",INDEX(PlantList!B:B,MATCH(A94,PlantList!C:C,0)))</f>
        <v/>
      </c>
      <c r="C94" s="12" t="str">
        <f t="shared" si="5"/>
        <v/>
      </c>
      <c r="D94" s="129" t="str">
        <f t="shared" si="6"/>
        <v/>
      </c>
      <c r="E94" s="10"/>
      <c r="F94" s="138"/>
      <c r="G94" s="138"/>
      <c r="H94" s="138"/>
      <c r="I94" s="139"/>
      <c r="J94" s="139"/>
      <c r="K94" s="140"/>
      <c r="L94" s="140"/>
      <c r="M94" s="140"/>
      <c r="N94" s="140"/>
      <c r="O94" s="140"/>
      <c r="P94" s="140"/>
      <c r="Q94" s="140"/>
      <c r="R94" s="140"/>
      <c r="S94" s="140"/>
      <c r="T94" s="10"/>
      <c r="U94" s="10"/>
      <c r="V94" s="10"/>
      <c r="W94" s="10"/>
      <c r="X94" s="10"/>
      <c r="Y94" s="10"/>
      <c r="Z94" s="10"/>
      <c r="AA94" s="10"/>
    </row>
    <row r="95" spans="1:27" x14ac:dyDescent="0.35">
      <c r="A95" s="132"/>
      <c r="B95" s="11" t="str">
        <f>IF(ISBLANK(A95),"",INDEX(PlantList!B:B,MATCH(A95,PlantList!C:C,0)))</f>
        <v/>
      </c>
      <c r="C95" s="12" t="str">
        <f t="shared" si="5"/>
        <v/>
      </c>
      <c r="D95" s="129" t="str">
        <f t="shared" si="6"/>
        <v/>
      </c>
      <c r="E95" s="10"/>
      <c r="F95" s="138"/>
      <c r="G95" s="138"/>
      <c r="H95" s="138"/>
      <c r="I95" s="139"/>
      <c r="J95" s="139"/>
      <c r="K95" s="140"/>
      <c r="L95" s="140"/>
      <c r="M95" s="140"/>
      <c r="N95" s="140"/>
      <c r="O95" s="140"/>
      <c r="P95" s="140"/>
      <c r="Q95" s="140"/>
      <c r="R95" s="140"/>
      <c r="S95" s="140"/>
      <c r="T95" s="10"/>
      <c r="U95" s="10"/>
      <c r="V95" s="10"/>
      <c r="W95" s="10"/>
      <c r="X95" s="10"/>
      <c r="Y95" s="10"/>
      <c r="Z95" s="10"/>
      <c r="AA95" s="10"/>
    </row>
    <row r="96" spans="1:27" x14ac:dyDescent="0.35">
      <c r="A96" s="132"/>
      <c r="B96" s="11" t="str">
        <f>IF(ISBLANK(A96),"",INDEX(PlantList!B:B,MATCH(A96,PlantList!C:C,0)))</f>
        <v/>
      </c>
      <c r="C96" s="12" t="str">
        <f t="shared" si="5"/>
        <v/>
      </c>
      <c r="D96" s="129" t="str">
        <f t="shared" si="6"/>
        <v/>
      </c>
      <c r="E96" s="10"/>
      <c r="F96" s="138"/>
      <c r="G96" s="138"/>
      <c r="H96" s="138"/>
      <c r="I96" s="139"/>
      <c r="J96" s="139"/>
      <c r="K96" s="140"/>
      <c r="L96" s="140"/>
      <c r="M96" s="140"/>
      <c r="N96" s="140"/>
      <c r="O96" s="140"/>
      <c r="P96" s="140"/>
      <c r="Q96" s="140"/>
      <c r="R96" s="140"/>
      <c r="S96" s="140"/>
      <c r="T96" s="10"/>
      <c r="U96" s="10"/>
      <c r="V96" s="10"/>
      <c r="W96" s="10"/>
      <c r="X96" s="10"/>
      <c r="Y96" s="10"/>
      <c r="Z96" s="10"/>
      <c r="AA96" s="10"/>
    </row>
    <row r="97" spans="1:27" x14ac:dyDescent="0.35">
      <c r="A97" s="132"/>
      <c r="B97" s="11" t="str">
        <f>IF(ISBLANK(A97),"",INDEX(PlantList!B:B,MATCH(A97,PlantList!C:C,0)))</f>
        <v/>
      </c>
      <c r="C97" s="12" t="str">
        <f t="shared" si="5"/>
        <v/>
      </c>
      <c r="D97" s="129" t="str">
        <f t="shared" si="6"/>
        <v/>
      </c>
      <c r="E97" s="10"/>
      <c r="F97" s="138"/>
      <c r="G97" s="138"/>
      <c r="H97" s="138"/>
      <c r="I97" s="139"/>
      <c r="J97" s="139"/>
      <c r="K97" s="140"/>
      <c r="L97" s="140"/>
      <c r="M97" s="140"/>
      <c r="N97" s="140"/>
      <c r="O97" s="140"/>
      <c r="P97" s="140"/>
      <c r="Q97" s="140"/>
      <c r="R97" s="140"/>
      <c r="S97" s="140"/>
      <c r="T97" s="10"/>
      <c r="U97" s="10"/>
      <c r="V97" s="10"/>
      <c r="W97" s="10"/>
      <c r="X97" s="10"/>
      <c r="Y97" s="10"/>
      <c r="Z97" s="10"/>
      <c r="AA97" s="10"/>
    </row>
    <row r="98" spans="1:27" x14ac:dyDescent="0.35">
      <c r="A98" s="132"/>
      <c r="B98" s="11" t="str">
        <f>IF(ISBLANK(A98),"",INDEX(PlantList!B:B,MATCH(A98,PlantList!C:C,0)))</f>
        <v/>
      </c>
      <c r="C98" s="12" t="str">
        <f t="shared" si="5"/>
        <v/>
      </c>
      <c r="D98" s="129" t="str">
        <f t="shared" si="6"/>
        <v/>
      </c>
      <c r="E98" s="10"/>
      <c r="F98" s="138"/>
      <c r="G98" s="138"/>
      <c r="H98" s="138"/>
      <c r="I98" s="139"/>
      <c r="J98" s="139"/>
      <c r="K98" s="140"/>
      <c r="L98" s="140"/>
      <c r="M98" s="140"/>
      <c r="N98" s="140"/>
      <c r="O98" s="140"/>
      <c r="P98" s="140"/>
      <c r="Q98" s="140"/>
      <c r="R98" s="140"/>
      <c r="S98" s="140"/>
      <c r="T98" s="10"/>
      <c r="U98" s="10"/>
      <c r="V98" s="10"/>
      <c r="W98" s="10"/>
      <c r="X98" s="10"/>
      <c r="Y98" s="10"/>
      <c r="Z98" s="10"/>
      <c r="AA98" s="10"/>
    </row>
    <row r="99" spans="1:27" x14ac:dyDescent="0.35">
      <c r="A99" s="132"/>
      <c r="B99" s="11" t="str">
        <f>IF(ISBLANK(A99),"",INDEX(PlantList!B:B,MATCH(A99,PlantList!C:C,0)))</f>
        <v/>
      </c>
      <c r="C99" s="12" t="str">
        <f t="shared" si="5"/>
        <v/>
      </c>
      <c r="D99" s="129" t="str">
        <f t="shared" si="6"/>
        <v/>
      </c>
      <c r="E99" s="10"/>
      <c r="F99" s="138"/>
      <c r="G99" s="138"/>
      <c r="H99" s="138"/>
      <c r="I99" s="139"/>
      <c r="J99" s="139"/>
      <c r="K99" s="140"/>
      <c r="L99" s="140"/>
      <c r="M99" s="140"/>
      <c r="N99" s="140"/>
      <c r="O99" s="140"/>
      <c r="P99" s="140"/>
      <c r="Q99" s="140"/>
      <c r="R99" s="140"/>
      <c r="S99" s="140"/>
      <c r="T99" s="10"/>
      <c r="U99" s="10"/>
      <c r="V99" s="10"/>
      <c r="W99" s="10"/>
      <c r="X99" s="10"/>
      <c r="Y99" s="10"/>
      <c r="Z99" s="10"/>
      <c r="AA99" s="10"/>
    </row>
    <row r="100" spans="1:27" s="9" customFormat="1" x14ac:dyDescent="0.35">
      <c r="A100" s="133"/>
      <c r="B100" s="16" t="str">
        <f>IF(ISBLANK(A100),"",INDEX(PlantList!B:B,MATCH(A100,PlantList!C:C,0)))</f>
        <v/>
      </c>
      <c r="C100" s="126" t="str">
        <f t="shared" si="5"/>
        <v/>
      </c>
      <c r="D100" s="130" t="str">
        <f t="shared" si="6"/>
        <v/>
      </c>
      <c r="E100" s="15"/>
      <c r="F100" s="138"/>
      <c r="G100" s="138"/>
      <c r="H100" s="138"/>
      <c r="I100" s="139"/>
      <c r="J100" s="139"/>
      <c r="K100" s="140"/>
      <c r="L100" s="140"/>
      <c r="M100" s="140"/>
      <c r="N100" s="140"/>
      <c r="O100" s="140"/>
      <c r="P100" s="140"/>
      <c r="Q100" s="140"/>
      <c r="R100" s="140"/>
      <c r="S100" s="140"/>
      <c r="T100" s="15"/>
      <c r="U100" s="15"/>
      <c r="V100" s="15"/>
      <c r="W100" s="15"/>
      <c r="X100" s="15"/>
      <c r="Y100" s="15"/>
      <c r="Z100" s="15"/>
      <c r="AA100" s="15"/>
    </row>
  </sheetData>
  <mergeCells count="3">
    <mergeCell ref="F2:H2"/>
    <mergeCell ref="I2:J2"/>
    <mergeCell ref="K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porterize_woody">
                <anchor moveWithCells="1">
                  <from>
                    <xdr:col>10</xdr:col>
                    <xdr:colOff>38100</xdr:colOff>
                    <xdr:row>0</xdr:row>
                    <xdr:rowOff>6350</xdr:rowOff>
                  </from>
                  <to>
                    <xdr:col>12</xdr:col>
                    <xdr:colOff>571500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4"/>
  <sheetViews>
    <sheetView tabSelected="1" workbookViewId="0">
      <pane ySplit="4" topLeftCell="A5" activePane="bottomLeft" state="frozen"/>
      <selection pane="bottomLeft" activeCell="M17" sqref="M17"/>
    </sheetView>
  </sheetViews>
  <sheetFormatPr defaultRowHeight="14.5" x14ac:dyDescent="0.35"/>
  <cols>
    <col min="1" max="1" width="19.453125" style="10" customWidth="1"/>
    <col min="2" max="2" width="20.81640625" style="10" customWidth="1"/>
    <col min="3" max="4" width="8.08984375" style="10" customWidth="1"/>
    <col min="5" max="5" width="7.54296875" style="10" customWidth="1"/>
    <col min="6" max="6" width="9.7265625" style="10" customWidth="1"/>
    <col min="7" max="9" width="8.7265625" style="136"/>
    <col min="10" max="16384" width="8.7265625" style="10"/>
  </cols>
  <sheetData>
    <row r="1" spans="1:9" x14ac:dyDescent="0.35">
      <c r="A1" s="127" t="s">
        <v>11876</v>
      </c>
      <c r="B1" s="18">
        <f>1-B2</f>
        <v>1</v>
      </c>
      <c r="C1" s="19"/>
      <c r="D1" s="19"/>
      <c r="E1" s="19"/>
    </row>
    <row r="2" spans="1:9" x14ac:dyDescent="0.35">
      <c r="A2" s="127" t="s">
        <v>11861</v>
      </c>
      <c r="B2" s="18">
        <f>SUMIFS(I:I,F:F,FALSE)</f>
        <v>0</v>
      </c>
      <c r="C2" s="19"/>
      <c r="D2" s="19"/>
      <c r="E2" s="19"/>
      <c r="G2" s="135" t="s">
        <v>11909</v>
      </c>
    </row>
    <row r="3" spans="1:9" x14ac:dyDescent="0.35">
      <c r="A3" s="20" t="s">
        <v>11862</v>
      </c>
      <c r="B3" s="21">
        <f>SUMIFS(G:G,F:F,FALSE)+SUMIFS(H:H,F:F,FALSE)</f>
        <v>0</v>
      </c>
      <c r="C3" s="19"/>
      <c r="D3" s="19"/>
      <c r="E3" s="19"/>
    </row>
    <row r="4" spans="1:9" x14ac:dyDescent="0.35">
      <c r="A4" s="131" t="s">
        <v>2</v>
      </c>
      <c r="B4" s="23" t="s">
        <v>1</v>
      </c>
      <c r="C4" s="23" t="s">
        <v>3</v>
      </c>
      <c r="D4" s="23" t="s">
        <v>4</v>
      </c>
      <c r="E4" s="23" t="s">
        <v>5</v>
      </c>
      <c r="F4" s="128" t="s">
        <v>6</v>
      </c>
      <c r="G4" s="24" t="s">
        <v>11857</v>
      </c>
      <c r="H4" s="24" t="s">
        <v>11858</v>
      </c>
      <c r="I4" s="25" t="s">
        <v>11859</v>
      </c>
    </row>
    <row r="5" spans="1:9" x14ac:dyDescent="0.35">
      <c r="A5" s="132"/>
      <c r="B5" s="11" t="str">
        <f>IF(ISBLANK(A5),"",INDEX(PlantList!B:B,MATCH(A5,PlantList!C:C,0)))</f>
        <v/>
      </c>
      <c r="C5" s="11" t="str">
        <f>IF(ISBLANK(A5),"",INDEX(PlantList!D:D,MATCH(A5,PlantList!C:C,0)))</f>
        <v/>
      </c>
      <c r="D5" s="11" t="str">
        <f>IF(ISBLANK(A5),"",INDEX(PlantList!E:E,MATCH(A5,PlantList!C:C,0)))</f>
        <v/>
      </c>
      <c r="E5" s="11" t="str">
        <f>IF(ISBLANK(A5),"",INDEX(PlantList!F:F,MATCH(A5,PlantList!C:C,0)))</f>
        <v/>
      </c>
      <c r="F5" s="141" t="str">
        <f>IF(ISBLANK(A5),"",INDEX(PlantList!G:G,MATCH(A5,PlantList!C:C,0)))</f>
        <v/>
      </c>
      <c r="I5" s="144"/>
    </row>
    <row r="6" spans="1:9" x14ac:dyDescent="0.35">
      <c r="A6" s="132"/>
      <c r="B6" s="11" t="str">
        <f>IF(ISBLANK(A6),"",INDEX(PlantList!B:B,MATCH(A6,PlantList!C:C,0)))</f>
        <v/>
      </c>
      <c r="C6" s="11" t="str">
        <f>IF(ISBLANK(A6),"",INDEX(PlantList!D:D,MATCH(A6,PlantList!C:C,0)))</f>
        <v/>
      </c>
      <c r="D6" s="11" t="str">
        <f>IF(ISBLANK(A6),"",INDEX(PlantList!E:E,MATCH(A6,PlantList!C:C,0)))</f>
        <v/>
      </c>
      <c r="E6" s="11" t="str">
        <f>IF(ISBLANK(A6),"",INDEX(PlantList!F:F,MATCH(A6,PlantList!C:C,0)))</f>
        <v/>
      </c>
      <c r="F6" s="142" t="str">
        <f>IF(ISBLANK(A6),"",INDEX(PlantList!G:G,MATCH(A6,PlantList!C:C,0)))</f>
        <v/>
      </c>
      <c r="I6" s="144"/>
    </row>
    <row r="7" spans="1:9" x14ac:dyDescent="0.35">
      <c r="A7" s="132"/>
      <c r="B7" s="11" t="str">
        <f>IF(ISBLANK(A7),"",INDEX(PlantList!B:B,MATCH(A7,PlantList!C:C,0)))</f>
        <v/>
      </c>
      <c r="C7" s="11" t="str">
        <f>IF(ISBLANK(A7),"",INDEX(PlantList!D:D,MATCH(A7,PlantList!C:C,0)))</f>
        <v/>
      </c>
      <c r="D7" s="11" t="str">
        <f>IF(ISBLANK(A7),"",INDEX(PlantList!E:E,MATCH(A7,PlantList!C:C,0)))</f>
        <v/>
      </c>
      <c r="E7" s="11" t="str">
        <f>IF(ISBLANK(A7),"",INDEX(PlantList!F:F,MATCH(A7,PlantList!C:C,0)))</f>
        <v/>
      </c>
      <c r="F7" s="142" t="str">
        <f>IF(ISBLANK(A7),"",INDEX(PlantList!G:G,MATCH(A7,PlantList!C:C,0)))</f>
        <v/>
      </c>
      <c r="I7" s="144"/>
    </row>
    <row r="8" spans="1:9" x14ac:dyDescent="0.35">
      <c r="A8" s="132"/>
      <c r="B8" s="11" t="str">
        <f>IF(ISBLANK(A8),"",INDEX(PlantList!B:B,MATCH(A8,PlantList!C:C,0)))</f>
        <v/>
      </c>
      <c r="C8" s="11" t="str">
        <f>IF(ISBLANK(A8),"",INDEX(PlantList!D:D,MATCH(A8,PlantList!C:C,0)))</f>
        <v/>
      </c>
      <c r="D8" s="11" t="str">
        <f>IF(ISBLANK(A8),"",INDEX(PlantList!E:E,MATCH(A8,PlantList!C:C,0)))</f>
        <v/>
      </c>
      <c r="E8" s="11" t="str">
        <f>IF(ISBLANK(A8),"",INDEX(PlantList!F:F,MATCH(A8,PlantList!C:C,0)))</f>
        <v/>
      </c>
      <c r="F8" s="142" t="str">
        <f>IF(ISBLANK(A8),"",INDEX(PlantList!G:G,MATCH(A8,PlantList!C:C,0)))</f>
        <v/>
      </c>
      <c r="I8" s="144"/>
    </row>
    <row r="9" spans="1:9" x14ac:dyDescent="0.35">
      <c r="A9" s="132"/>
      <c r="B9" s="11" t="str">
        <f>IF(ISBLANK(A9),"",INDEX(PlantList!B:B,MATCH(A9,PlantList!C:C,0)))</f>
        <v/>
      </c>
      <c r="C9" s="11" t="str">
        <f>IF(ISBLANK(A9),"",INDEX(PlantList!D:D,MATCH(A9,PlantList!C:C,0)))</f>
        <v/>
      </c>
      <c r="D9" s="11" t="str">
        <f>IF(ISBLANK(A9),"",INDEX(PlantList!E:E,MATCH(A9,PlantList!C:C,0)))</f>
        <v/>
      </c>
      <c r="E9" s="11" t="str">
        <f>IF(ISBLANK(A9),"",INDEX(PlantList!F:F,MATCH(A9,PlantList!C:C,0)))</f>
        <v/>
      </c>
      <c r="F9" s="142" t="str">
        <f>IF(ISBLANK(A9),"",INDEX(PlantList!G:G,MATCH(A9,PlantList!C:C,0)))</f>
        <v/>
      </c>
      <c r="I9" s="144"/>
    </row>
    <row r="10" spans="1:9" x14ac:dyDescent="0.35">
      <c r="A10" s="132"/>
      <c r="B10" s="11" t="str">
        <f>IF(ISBLANK(A10),"",INDEX(PlantList!B:B,MATCH(A10,PlantList!C:C,0)))</f>
        <v/>
      </c>
      <c r="C10" s="11" t="str">
        <f>IF(ISBLANK(A10),"",INDEX(PlantList!D:D,MATCH(A10,PlantList!C:C,0)))</f>
        <v/>
      </c>
      <c r="D10" s="11" t="str">
        <f>IF(ISBLANK(A10),"",INDEX(PlantList!E:E,MATCH(A10,PlantList!C:C,0)))</f>
        <v/>
      </c>
      <c r="E10" s="11" t="str">
        <f>IF(ISBLANK(A10),"",INDEX(PlantList!F:F,MATCH(A10,PlantList!C:C,0)))</f>
        <v/>
      </c>
      <c r="F10" s="142" t="str">
        <f>IF(ISBLANK(A10),"",INDEX(PlantList!G:G,MATCH(A10,PlantList!C:C,0)))</f>
        <v/>
      </c>
      <c r="I10" s="144"/>
    </row>
    <row r="11" spans="1:9" x14ac:dyDescent="0.35">
      <c r="A11" s="132"/>
      <c r="B11" s="11" t="str">
        <f>IF(ISBLANK(A11),"",INDEX(PlantList!B:B,MATCH(A11,PlantList!C:C,0)))</f>
        <v/>
      </c>
      <c r="C11" s="11" t="str">
        <f>IF(ISBLANK(A11),"",INDEX(PlantList!D:D,MATCH(A11,PlantList!C:C,0)))</f>
        <v/>
      </c>
      <c r="D11" s="11" t="str">
        <f>IF(ISBLANK(A11),"",INDEX(PlantList!E:E,MATCH(A11,PlantList!C:C,0)))</f>
        <v/>
      </c>
      <c r="E11" s="11" t="str">
        <f>IF(ISBLANK(A11),"",INDEX(PlantList!F:F,MATCH(A11,PlantList!C:C,0)))</f>
        <v/>
      </c>
      <c r="F11" s="142" t="str">
        <f>IF(ISBLANK(A11),"",INDEX(PlantList!G:G,MATCH(A11,PlantList!C:C,0)))</f>
        <v/>
      </c>
      <c r="I11" s="144"/>
    </row>
    <row r="12" spans="1:9" x14ac:dyDescent="0.35">
      <c r="A12" s="132"/>
      <c r="B12" s="11" t="str">
        <f>IF(ISBLANK(A12),"",INDEX(PlantList!B:B,MATCH(A12,PlantList!C:C,0)))</f>
        <v/>
      </c>
      <c r="C12" s="11" t="str">
        <f>IF(ISBLANK(A12),"",INDEX(PlantList!D:D,MATCH(A12,PlantList!C:C,0)))</f>
        <v/>
      </c>
      <c r="D12" s="11" t="str">
        <f>IF(ISBLANK(A12),"",INDEX(PlantList!E:E,MATCH(A12,PlantList!C:C,0)))</f>
        <v/>
      </c>
      <c r="E12" s="11" t="str">
        <f>IF(ISBLANK(A12),"",INDEX(PlantList!F:F,MATCH(A12,PlantList!C:C,0)))</f>
        <v/>
      </c>
      <c r="F12" s="142" t="str">
        <f>IF(ISBLANK(A12),"",INDEX(PlantList!G:G,MATCH(A12,PlantList!C:C,0)))</f>
        <v/>
      </c>
      <c r="I12" s="144"/>
    </row>
    <row r="13" spans="1:9" x14ac:dyDescent="0.35">
      <c r="A13" s="132"/>
      <c r="B13" s="11" t="str">
        <f>IF(ISBLANK(A13),"",INDEX(PlantList!B:B,MATCH(A13,PlantList!C:C,0)))</f>
        <v/>
      </c>
      <c r="C13" s="11" t="str">
        <f>IF(ISBLANK(A13),"",INDEX(PlantList!D:D,MATCH(A13,PlantList!C:C,0)))</f>
        <v/>
      </c>
      <c r="D13" s="11" t="str">
        <f>IF(ISBLANK(A13),"",INDEX(PlantList!E:E,MATCH(A13,PlantList!C:C,0)))</f>
        <v/>
      </c>
      <c r="E13" s="11" t="str">
        <f>IF(ISBLANK(A13),"",INDEX(PlantList!F:F,MATCH(A13,PlantList!C:C,0)))</f>
        <v/>
      </c>
      <c r="F13" s="142" t="str">
        <f>IF(ISBLANK(A13),"",INDEX(PlantList!G:G,MATCH(A13,PlantList!C:C,0)))</f>
        <v/>
      </c>
      <c r="I13" s="144"/>
    </row>
    <row r="14" spans="1:9" x14ac:dyDescent="0.35">
      <c r="A14" s="132"/>
      <c r="B14" s="11" t="str">
        <f>IF(ISBLANK(A14),"",INDEX(PlantList!B:B,MATCH(A14,PlantList!C:C,0)))</f>
        <v/>
      </c>
      <c r="C14" s="11" t="str">
        <f>IF(ISBLANK(A14),"",INDEX(PlantList!D:D,MATCH(A14,PlantList!C:C,0)))</f>
        <v/>
      </c>
      <c r="D14" s="11" t="str">
        <f>IF(ISBLANK(A14),"",INDEX(PlantList!E:E,MATCH(A14,PlantList!C:C,0)))</f>
        <v/>
      </c>
      <c r="E14" s="11" t="str">
        <f>IF(ISBLANK(A14),"",INDEX(PlantList!F:F,MATCH(A14,PlantList!C:C,0)))</f>
        <v/>
      </c>
      <c r="F14" s="142" t="str">
        <f>IF(ISBLANK(A14),"",INDEX(PlantList!G:G,MATCH(A14,PlantList!C:C,0)))</f>
        <v/>
      </c>
      <c r="I14" s="144"/>
    </row>
    <row r="15" spans="1:9" x14ac:dyDescent="0.35">
      <c r="A15" s="132"/>
      <c r="B15" s="11" t="str">
        <f>IF(ISBLANK(A15),"",INDEX(PlantList!B:B,MATCH(A15,PlantList!C:C,0)))</f>
        <v/>
      </c>
      <c r="C15" s="11" t="str">
        <f>IF(ISBLANK(A15),"",INDEX(PlantList!D:D,MATCH(A15,PlantList!C:C,0)))</f>
        <v/>
      </c>
      <c r="D15" s="11" t="str">
        <f>IF(ISBLANK(A15),"",INDEX(PlantList!E:E,MATCH(A15,PlantList!C:C,0)))</f>
        <v/>
      </c>
      <c r="E15" s="11" t="str">
        <f>IF(ISBLANK(A15),"",INDEX(PlantList!F:F,MATCH(A15,PlantList!C:C,0)))</f>
        <v/>
      </c>
      <c r="F15" s="142" t="str">
        <f>IF(ISBLANK(A15),"",INDEX(PlantList!G:G,MATCH(A15,PlantList!C:C,0)))</f>
        <v/>
      </c>
      <c r="I15" s="144"/>
    </row>
    <row r="16" spans="1:9" x14ac:dyDescent="0.35">
      <c r="A16" s="132"/>
      <c r="B16" s="11" t="str">
        <f>IF(ISBLANK(A16),"",INDEX(PlantList!B:B,MATCH(A16,PlantList!C:C,0)))</f>
        <v/>
      </c>
      <c r="C16" s="11" t="str">
        <f>IF(ISBLANK(A16),"",INDEX(PlantList!D:D,MATCH(A16,PlantList!C:C,0)))</f>
        <v/>
      </c>
      <c r="D16" s="11" t="str">
        <f>IF(ISBLANK(A16),"",INDEX(PlantList!E:E,MATCH(A16,PlantList!C:C,0)))</f>
        <v/>
      </c>
      <c r="E16" s="11" t="str">
        <f>IF(ISBLANK(A16),"",INDEX(PlantList!F:F,MATCH(A16,PlantList!C:C,0)))</f>
        <v/>
      </c>
      <c r="F16" s="142" t="str">
        <f>IF(ISBLANK(A16),"",INDEX(PlantList!G:G,MATCH(A16,PlantList!C:C,0)))</f>
        <v/>
      </c>
      <c r="I16" s="144"/>
    </row>
    <row r="17" spans="1:9" x14ac:dyDescent="0.35">
      <c r="A17" s="132"/>
      <c r="B17" s="11" t="str">
        <f>IF(ISBLANK(A17),"",INDEX(PlantList!B:B,MATCH(A17,PlantList!C:C,0)))</f>
        <v/>
      </c>
      <c r="C17" s="11" t="str">
        <f>IF(ISBLANK(A17),"",INDEX(PlantList!D:D,MATCH(A17,PlantList!C:C,0)))</f>
        <v/>
      </c>
      <c r="D17" s="11" t="str">
        <f>IF(ISBLANK(A17),"",INDEX(PlantList!E:E,MATCH(A17,PlantList!C:C,0)))</f>
        <v/>
      </c>
      <c r="E17" s="11" t="str">
        <f>IF(ISBLANK(A17),"",INDEX(PlantList!F:F,MATCH(A17,PlantList!C:C,0)))</f>
        <v/>
      </c>
      <c r="F17" s="142" t="str">
        <f>IF(ISBLANK(A17),"",INDEX(PlantList!G:G,MATCH(A17,PlantList!C:C,0)))</f>
        <v/>
      </c>
      <c r="I17" s="144"/>
    </row>
    <row r="18" spans="1:9" x14ac:dyDescent="0.35">
      <c r="A18" s="132"/>
      <c r="B18" s="11" t="str">
        <f>IF(ISBLANK(A18),"",INDEX(PlantList!B:B,MATCH(A18,PlantList!C:C,0)))</f>
        <v/>
      </c>
      <c r="C18" s="11" t="str">
        <f>IF(ISBLANK(A18),"",INDEX(PlantList!D:D,MATCH(A18,PlantList!C:C,0)))</f>
        <v/>
      </c>
      <c r="D18" s="11" t="str">
        <f>IF(ISBLANK(A18),"",INDEX(PlantList!E:E,MATCH(A18,PlantList!C:C,0)))</f>
        <v/>
      </c>
      <c r="E18" s="11" t="str">
        <f>IF(ISBLANK(A18),"",INDEX(PlantList!F:F,MATCH(A18,PlantList!C:C,0)))</f>
        <v/>
      </c>
      <c r="F18" s="142" t="str">
        <f>IF(ISBLANK(A18),"",INDEX(PlantList!G:G,MATCH(A18,PlantList!C:C,0)))</f>
        <v/>
      </c>
      <c r="I18" s="144"/>
    </row>
    <row r="19" spans="1:9" x14ac:dyDescent="0.35">
      <c r="A19" s="132"/>
      <c r="B19" s="11" t="str">
        <f>IF(ISBLANK(A19),"",INDEX(PlantList!B:B,MATCH(A19,PlantList!C:C,0)))</f>
        <v/>
      </c>
      <c r="C19" s="11" t="str">
        <f>IF(ISBLANK(A19),"",INDEX(PlantList!D:D,MATCH(A19,PlantList!C:C,0)))</f>
        <v/>
      </c>
      <c r="D19" s="11" t="str">
        <f>IF(ISBLANK(A19),"",INDEX(PlantList!E:E,MATCH(A19,PlantList!C:C,0)))</f>
        <v/>
      </c>
      <c r="E19" s="11" t="str">
        <f>IF(ISBLANK(A19),"",INDEX(PlantList!F:F,MATCH(A19,PlantList!C:C,0)))</f>
        <v/>
      </c>
      <c r="F19" s="142" t="str">
        <f>IF(ISBLANK(A19),"",INDEX(PlantList!G:G,MATCH(A19,PlantList!C:C,0)))</f>
        <v/>
      </c>
      <c r="I19" s="144"/>
    </row>
    <row r="20" spans="1:9" x14ac:dyDescent="0.35">
      <c r="A20" s="132"/>
      <c r="B20" s="11" t="str">
        <f>IF(ISBLANK(A20),"",INDEX(PlantList!B:B,MATCH(A20,PlantList!C:C,0)))</f>
        <v/>
      </c>
      <c r="C20" s="11" t="str">
        <f>IF(ISBLANK(A20),"",INDEX(PlantList!D:D,MATCH(A20,PlantList!C:C,0)))</f>
        <v/>
      </c>
      <c r="D20" s="11" t="str">
        <f>IF(ISBLANK(A20),"",INDEX(PlantList!E:E,MATCH(A20,PlantList!C:C,0)))</f>
        <v/>
      </c>
      <c r="E20" s="11" t="str">
        <f>IF(ISBLANK(A20),"",INDEX(PlantList!F:F,MATCH(A20,PlantList!C:C,0)))</f>
        <v/>
      </c>
      <c r="F20" s="142" t="str">
        <f>IF(ISBLANK(A20),"",INDEX(PlantList!G:G,MATCH(A20,PlantList!C:C,0)))</f>
        <v/>
      </c>
      <c r="I20" s="144"/>
    </row>
    <row r="21" spans="1:9" x14ac:dyDescent="0.35">
      <c r="A21" s="132"/>
      <c r="B21" s="11" t="str">
        <f>IF(ISBLANK(A21),"",INDEX(PlantList!B:B,MATCH(A21,PlantList!C:C,0)))</f>
        <v/>
      </c>
      <c r="C21" s="11" t="str">
        <f>IF(ISBLANK(A21),"",INDEX(PlantList!D:D,MATCH(A21,PlantList!C:C,0)))</f>
        <v/>
      </c>
      <c r="D21" s="11" t="str">
        <f>IF(ISBLANK(A21),"",INDEX(PlantList!E:E,MATCH(A21,PlantList!C:C,0)))</f>
        <v/>
      </c>
      <c r="E21" s="11" t="str">
        <f>IF(ISBLANK(A21),"",INDEX(PlantList!F:F,MATCH(A21,PlantList!C:C,0)))</f>
        <v/>
      </c>
      <c r="F21" s="142" t="str">
        <f>IF(ISBLANK(A21),"",INDEX(PlantList!G:G,MATCH(A21,PlantList!C:C,0)))</f>
        <v/>
      </c>
      <c r="I21" s="144"/>
    </row>
    <row r="22" spans="1:9" x14ac:dyDescent="0.35">
      <c r="A22" s="132"/>
      <c r="B22" s="11" t="str">
        <f>IF(ISBLANK(A22),"",INDEX(PlantList!B:B,MATCH(A22,PlantList!C:C,0)))</f>
        <v/>
      </c>
      <c r="C22" s="11" t="str">
        <f>IF(ISBLANK(A22),"",INDEX(PlantList!D:D,MATCH(A22,PlantList!C:C,0)))</f>
        <v/>
      </c>
      <c r="D22" s="11" t="str">
        <f>IF(ISBLANK(A22),"",INDEX(PlantList!E:E,MATCH(A22,PlantList!C:C,0)))</f>
        <v/>
      </c>
      <c r="E22" s="11" t="str">
        <f>IF(ISBLANK(A22),"",INDEX(PlantList!F:F,MATCH(A22,PlantList!C:C,0)))</f>
        <v/>
      </c>
      <c r="F22" s="142" t="str">
        <f>IF(ISBLANK(A22),"",INDEX(PlantList!G:G,MATCH(A22,PlantList!C:C,0)))</f>
        <v/>
      </c>
      <c r="I22" s="144"/>
    </row>
    <row r="23" spans="1:9" x14ac:dyDescent="0.35">
      <c r="A23" s="132"/>
      <c r="B23" s="11" t="str">
        <f>IF(ISBLANK(A23),"",INDEX(PlantList!B:B,MATCH(A23,PlantList!C:C,0)))</f>
        <v/>
      </c>
      <c r="C23" s="11" t="str">
        <f>IF(ISBLANK(A23),"",INDEX(PlantList!D:D,MATCH(A23,PlantList!C:C,0)))</f>
        <v/>
      </c>
      <c r="D23" s="11" t="str">
        <f>IF(ISBLANK(A23),"",INDEX(PlantList!E:E,MATCH(A23,PlantList!C:C,0)))</f>
        <v/>
      </c>
      <c r="E23" s="11" t="str">
        <f>IF(ISBLANK(A23),"",INDEX(PlantList!F:F,MATCH(A23,PlantList!C:C,0)))</f>
        <v/>
      </c>
      <c r="F23" s="142" t="str">
        <f>IF(ISBLANK(A23),"",INDEX(PlantList!G:G,MATCH(A23,PlantList!C:C,0)))</f>
        <v/>
      </c>
      <c r="I23" s="144"/>
    </row>
    <row r="24" spans="1:9" x14ac:dyDescent="0.35">
      <c r="A24" s="132"/>
      <c r="B24" s="11" t="str">
        <f>IF(ISBLANK(A24),"",INDEX(PlantList!B:B,MATCH(A24,PlantList!C:C,0)))</f>
        <v/>
      </c>
      <c r="C24" s="11" t="str">
        <f>IF(ISBLANK(A24),"",INDEX(PlantList!D:D,MATCH(A24,PlantList!C:C,0)))</f>
        <v/>
      </c>
      <c r="D24" s="11" t="str">
        <f>IF(ISBLANK(A24),"",INDEX(PlantList!E:E,MATCH(A24,PlantList!C:C,0)))</f>
        <v/>
      </c>
      <c r="E24" s="11" t="str">
        <f>IF(ISBLANK(A24),"",INDEX(PlantList!F:F,MATCH(A24,PlantList!C:C,0)))</f>
        <v/>
      </c>
      <c r="F24" s="142" t="str">
        <f>IF(ISBLANK(A24),"",INDEX(PlantList!G:G,MATCH(A24,PlantList!C:C,0)))</f>
        <v/>
      </c>
      <c r="I24" s="144"/>
    </row>
    <row r="25" spans="1:9" x14ac:dyDescent="0.35">
      <c r="A25" s="132"/>
      <c r="B25" s="11" t="str">
        <f>IF(ISBLANK(A25),"",INDEX(PlantList!B:B,MATCH(A25,PlantList!C:C,0)))</f>
        <v/>
      </c>
      <c r="C25" s="11" t="str">
        <f>IF(ISBLANK(A25),"",INDEX(PlantList!D:D,MATCH(A25,PlantList!C:C,0)))</f>
        <v/>
      </c>
      <c r="D25" s="11" t="str">
        <f>IF(ISBLANK(A25),"",INDEX(PlantList!E:E,MATCH(A25,PlantList!C:C,0)))</f>
        <v/>
      </c>
      <c r="E25" s="11" t="str">
        <f>IF(ISBLANK(A25),"",INDEX(PlantList!F:F,MATCH(A25,PlantList!C:C,0)))</f>
        <v/>
      </c>
      <c r="F25" s="142" t="str">
        <f>IF(ISBLANK(A25),"",INDEX(PlantList!G:G,MATCH(A25,PlantList!C:C,0)))</f>
        <v/>
      </c>
      <c r="I25" s="144"/>
    </row>
    <row r="26" spans="1:9" x14ac:dyDescent="0.35">
      <c r="A26" s="132"/>
      <c r="B26" s="11" t="str">
        <f>IF(ISBLANK(A26),"",INDEX(PlantList!B:B,MATCH(A26,PlantList!C:C,0)))</f>
        <v/>
      </c>
      <c r="C26" s="11" t="str">
        <f>IF(ISBLANK(A26),"",INDEX(PlantList!D:D,MATCH(A26,PlantList!C:C,0)))</f>
        <v/>
      </c>
      <c r="D26" s="11" t="str">
        <f>IF(ISBLANK(A26),"",INDEX(PlantList!E:E,MATCH(A26,PlantList!C:C,0)))</f>
        <v/>
      </c>
      <c r="E26" s="11" t="str">
        <f>IF(ISBLANK(A26),"",INDEX(PlantList!F:F,MATCH(A26,PlantList!C:C,0)))</f>
        <v/>
      </c>
      <c r="F26" s="142" t="str">
        <f>IF(ISBLANK(A26),"",INDEX(PlantList!G:G,MATCH(A26,PlantList!C:C,0)))</f>
        <v/>
      </c>
      <c r="I26" s="144"/>
    </row>
    <row r="27" spans="1:9" x14ac:dyDescent="0.35">
      <c r="A27" s="132"/>
      <c r="B27" s="11" t="str">
        <f>IF(ISBLANK(A27),"",INDEX(PlantList!B:B,MATCH(A27,PlantList!C:C,0)))</f>
        <v/>
      </c>
      <c r="C27" s="11" t="str">
        <f>IF(ISBLANK(A27),"",INDEX(PlantList!D:D,MATCH(A27,PlantList!C:C,0)))</f>
        <v/>
      </c>
      <c r="D27" s="11" t="str">
        <f>IF(ISBLANK(A27),"",INDEX(PlantList!E:E,MATCH(A27,PlantList!C:C,0)))</f>
        <v/>
      </c>
      <c r="E27" s="11" t="str">
        <f>IF(ISBLANK(A27),"",INDEX(PlantList!F:F,MATCH(A27,PlantList!C:C,0)))</f>
        <v/>
      </c>
      <c r="F27" s="142" t="str">
        <f>IF(ISBLANK(A27),"",INDEX(PlantList!G:G,MATCH(A27,PlantList!C:C,0)))</f>
        <v/>
      </c>
      <c r="I27" s="144"/>
    </row>
    <row r="28" spans="1:9" x14ac:dyDescent="0.35">
      <c r="A28" s="132"/>
      <c r="B28" s="11" t="str">
        <f>IF(ISBLANK(A28),"",INDEX(PlantList!B:B,MATCH(A28,PlantList!C:C,0)))</f>
        <v/>
      </c>
      <c r="C28" s="11" t="str">
        <f>IF(ISBLANK(A28),"",INDEX(PlantList!D:D,MATCH(A28,PlantList!C:C,0)))</f>
        <v/>
      </c>
      <c r="D28" s="11" t="str">
        <f>IF(ISBLANK(A28),"",INDEX(PlantList!E:E,MATCH(A28,PlantList!C:C,0)))</f>
        <v/>
      </c>
      <c r="E28" s="11" t="str">
        <f>IF(ISBLANK(A28),"",INDEX(PlantList!F:F,MATCH(A28,PlantList!C:C,0)))</f>
        <v/>
      </c>
      <c r="F28" s="142" t="str">
        <f>IF(ISBLANK(A28),"",INDEX(PlantList!G:G,MATCH(A28,PlantList!C:C,0)))</f>
        <v/>
      </c>
      <c r="I28" s="144"/>
    </row>
    <row r="29" spans="1:9" x14ac:dyDescent="0.35">
      <c r="A29" s="132"/>
      <c r="B29" s="11" t="str">
        <f>IF(ISBLANK(A29),"",INDEX(PlantList!B:B,MATCH(A29,PlantList!C:C,0)))</f>
        <v/>
      </c>
      <c r="C29" s="11" t="str">
        <f>IF(ISBLANK(A29),"",INDEX(PlantList!D:D,MATCH(A29,PlantList!C:C,0)))</f>
        <v/>
      </c>
      <c r="D29" s="11" t="str">
        <f>IF(ISBLANK(A29),"",INDEX(PlantList!E:E,MATCH(A29,PlantList!C:C,0)))</f>
        <v/>
      </c>
      <c r="E29" s="11" t="str">
        <f>IF(ISBLANK(A29),"",INDEX(PlantList!F:F,MATCH(A29,PlantList!C:C,0)))</f>
        <v/>
      </c>
      <c r="F29" s="142" t="str">
        <f>IF(ISBLANK(A29),"",INDEX(PlantList!G:G,MATCH(A29,PlantList!C:C,0)))</f>
        <v/>
      </c>
      <c r="I29" s="144"/>
    </row>
    <row r="30" spans="1:9" x14ac:dyDescent="0.35">
      <c r="A30" s="132"/>
      <c r="B30" s="11" t="str">
        <f>IF(ISBLANK(A30),"",INDEX(PlantList!B:B,MATCH(A30,PlantList!C:C,0)))</f>
        <v/>
      </c>
      <c r="C30" s="11" t="str">
        <f>IF(ISBLANK(A30),"",INDEX(PlantList!D:D,MATCH(A30,PlantList!C:C,0)))</f>
        <v/>
      </c>
      <c r="D30" s="11" t="str">
        <f>IF(ISBLANK(A30),"",INDEX(PlantList!E:E,MATCH(A30,PlantList!C:C,0)))</f>
        <v/>
      </c>
      <c r="E30" s="11" t="str">
        <f>IF(ISBLANK(A30),"",INDEX(PlantList!F:F,MATCH(A30,PlantList!C:C,0)))</f>
        <v/>
      </c>
      <c r="F30" s="142" t="str">
        <f>IF(ISBLANK(A30),"",INDEX(PlantList!G:G,MATCH(A30,PlantList!C:C,0)))</f>
        <v/>
      </c>
      <c r="I30" s="144"/>
    </row>
    <row r="31" spans="1:9" x14ac:dyDescent="0.35">
      <c r="A31" s="132"/>
      <c r="B31" s="11" t="str">
        <f>IF(ISBLANK(A31),"",INDEX(PlantList!B:B,MATCH(A31,PlantList!C:C,0)))</f>
        <v/>
      </c>
      <c r="C31" s="11" t="str">
        <f>IF(ISBLANK(A31),"",INDEX(PlantList!D:D,MATCH(A31,PlantList!C:C,0)))</f>
        <v/>
      </c>
      <c r="D31" s="11" t="str">
        <f>IF(ISBLANK(A31),"",INDEX(PlantList!E:E,MATCH(A31,PlantList!C:C,0)))</f>
        <v/>
      </c>
      <c r="E31" s="11" t="str">
        <f>IF(ISBLANK(A31),"",INDEX(PlantList!F:F,MATCH(A31,PlantList!C:C,0)))</f>
        <v/>
      </c>
      <c r="F31" s="142" t="str">
        <f>IF(ISBLANK(A31),"",INDEX(PlantList!G:G,MATCH(A31,PlantList!C:C,0)))</f>
        <v/>
      </c>
      <c r="I31" s="144"/>
    </row>
    <row r="32" spans="1:9" x14ac:dyDescent="0.35">
      <c r="A32" s="132"/>
      <c r="B32" s="11" t="str">
        <f>IF(ISBLANK(A32),"",INDEX(PlantList!B:B,MATCH(A32,PlantList!C:C,0)))</f>
        <v/>
      </c>
      <c r="C32" s="11" t="str">
        <f>IF(ISBLANK(A32),"",INDEX(PlantList!D:D,MATCH(A32,PlantList!C:C,0)))</f>
        <v/>
      </c>
      <c r="D32" s="11" t="str">
        <f>IF(ISBLANK(A32),"",INDEX(PlantList!E:E,MATCH(A32,PlantList!C:C,0)))</f>
        <v/>
      </c>
      <c r="E32" s="11" t="str">
        <f>IF(ISBLANK(A32),"",INDEX(PlantList!F:F,MATCH(A32,PlantList!C:C,0)))</f>
        <v/>
      </c>
      <c r="F32" s="142" t="str">
        <f>IF(ISBLANK(A32),"",INDEX(PlantList!G:G,MATCH(A32,PlantList!C:C,0)))</f>
        <v/>
      </c>
      <c r="I32" s="144"/>
    </row>
    <row r="33" spans="1:9" x14ac:dyDescent="0.35">
      <c r="A33" s="132"/>
      <c r="B33" s="11" t="str">
        <f>IF(ISBLANK(A33),"",INDEX(PlantList!B:B,MATCH(A33,PlantList!C:C,0)))</f>
        <v/>
      </c>
      <c r="C33" s="11" t="str">
        <f>IF(ISBLANK(A33),"",INDEX(PlantList!D:D,MATCH(A33,PlantList!C:C,0)))</f>
        <v/>
      </c>
      <c r="D33" s="11" t="str">
        <f>IF(ISBLANK(A33),"",INDEX(PlantList!E:E,MATCH(A33,PlantList!C:C,0)))</f>
        <v/>
      </c>
      <c r="E33" s="11" t="str">
        <f>IF(ISBLANK(A33),"",INDEX(PlantList!F:F,MATCH(A33,PlantList!C:C,0)))</f>
        <v/>
      </c>
      <c r="F33" s="142" t="str">
        <f>IF(ISBLANK(A33),"",INDEX(PlantList!G:G,MATCH(A33,PlantList!C:C,0)))</f>
        <v/>
      </c>
      <c r="I33" s="144"/>
    </row>
    <row r="34" spans="1:9" x14ac:dyDescent="0.35">
      <c r="A34" s="132"/>
      <c r="B34" s="11" t="str">
        <f>IF(ISBLANK(A34),"",INDEX(PlantList!B:B,MATCH(A34,PlantList!C:C,0)))</f>
        <v/>
      </c>
      <c r="C34" s="11" t="str">
        <f>IF(ISBLANK(A34),"",INDEX(PlantList!D:D,MATCH(A34,PlantList!C:C,0)))</f>
        <v/>
      </c>
      <c r="D34" s="11" t="str">
        <f>IF(ISBLANK(A34),"",INDEX(PlantList!E:E,MATCH(A34,PlantList!C:C,0)))</f>
        <v/>
      </c>
      <c r="E34" s="11" t="str">
        <f>IF(ISBLANK(A34),"",INDEX(PlantList!F:F,MATCH(A34,PlantList!C:C,0)))</f>
        <v/>
      </c>
      <c r="F34" s="142" t="str">
        <f>IF(ISBLANK(A34),"",INDEX(PlantList!G:G,MATCH(A34,PlantList!C:C,0)))</f>
        <v/>
      </c>
      <c r="I34" s="144"/>
    </row>
    <row r="35" spans="1:9" x14ac:dyDescent="0.35">
      <c r="A35" s="132"/>
      <c r="B35" s="11" t="str">
        <f>IF(ISBLANK(A35),"",INDEX(PlantList!B:B,MATCH(A35,PlantList!C:C,0)))</f>
        <v/>
      </c>
      <c r="C35" s="11" t="str">
        <f>IF(ISBLANK(A35),"",INDEX(PlantList!D:D,MATCH(A35,PlantList!C:C,0)))</f>
        <v/>
      </c>
      <c r="D35" s="11" t="str">
        <f>IF(ISBLANK(A35),"",INDEX(PlantList!E:E,MATCH(A35,PlantList!C:C,0)))</f>
        <v/>
      </c>
      <c r="E35" s="11" t="str">
        <f>IF(ISBLANK(A35),"",INDEX(PlantList!F:F,MATCH(A35,PlantList!C:C,0)))</f>
        <v/>
      </c>
      <c r="F35" s="142" t="str">
        <f>IF(ISBLANK(A35),"",INDEX(PlantList!G:G,MATCH(A35,PlantList!C:C,0)))</f>
        <v/>
      </c>
      <c r="I35" s="144"/>
    </row>
    <row r="36" spans="1:9" x14ac:dyDescent="0.35">
      <c r="A36" s="132"/>
      <c r="B36" s="11" t="str">
        <f>IF(ISBLANK(A36),"",INDEX(PlantList!B:B,MATCH(A36,PlantList!C:C,0)))</f>
        <v/>
      </c>
      <c r="C36" s="11" t="str">
        <f>IF(ISBLANK(A36),"",INDEX(PlantList!D:D,MATCH(A36,PlantList!C:C,0)))</f>
        <v/>
      </c>
      <c r="D36" s="11" t="str">
        <f>IF(ISBLANK(A36),"",INDEX(PlantList!E:E,MATCH(A36,PlantList!C:C,0)))</f>
        <v/>
      </c>
      <c r="E36" s="11" t="str">
        <f>IF(ISBLANK(A36),"",INDEX(PlantList!F:F,MATCH(A36,PlantList!C:C,0)))</f>
        <v/>
      </c>
      <c r="F36" s="142" t="str">
        <f>IF(ISBLANK(A36),"",INDEX(PlantList!G:G,MATCH(A36,PlantList!C:C,0)))</f>
        <v/>
      </c>
      <c r="I36" s="144"/>
    </row>
    <row r="37" spans="1:9" x14ac:dyDescent="0.35">
      <c r="A37" s="132"/>
      <c r="B37" s="11" t="str">
        <f>IF(ISBLANK(A37),"",INDEX(PlantList!B:B,MATCH(A37,PlantList!C:C,0)))</f>
        <v/>
      </c>
      <c r="C37" s="11" t="str">
        <f>IF(ISBLANK(A37),"",INDEX(PlantList!D:D,MATCH(A37,PlantList!C:C,0)))</f>
        <v/>
      </c>
      <c r="D37" s="11" t="str">
        <f>IF(ISBLANK(A37),"",INDEX(PlantList!E:E,MATCH(A37,PlantList!C:C,0)))</f>
        <v/>
      </c>
      <c r="E37" s="11" t="str">
        <f>IF(ISBLANK(A37),"",INDEX(PlantList!F:F,MATCH(A37,PlantList!C:C,0)))</f>
        <v/>
      </c>
      <c r="F37" s="142" t="str">
        <f>IF(ISBLANK(A37),"",INDEX(PlantList!G:G,MATCH(A37,PlantList!C:C,0)))</f>
        <v/>
      </c>
      <c r="I37" s="144"/>
    </row>
    <row r="38" spans="1:9" x14ac:dyDescent="0.35">
      <c r="A38" s="132"/>
      <c r="B38" s="11" t="str">
        <f>IF(ISBLANK(A38),"",INDEX(PlantList!B:B,MATCH(A38,PlantList!C:C,0)))</f>
        <v/>
      </c>
      <c r="C38" s="11" t="str">
        <f>IF(ISBLANK(A38),"",INDEX(PlantList!D:D,MATCH(A38,PlantList!C:C,0)))</f>
        <v/>
      </c>
      <c r="D38" s="11" t="str">
        <f>IF(ISBLANK(A38),"",INDEX(PlantList!E:E,MATCH(A38,PlantList!C:C,0)))</f>
        <v/>
      </c>
      <c r="E38" s="11" t="str">
        <f>IF(ISBLANK(A38),"",INDEX(PlantList!F:F,MATCH(A38,PlantList!C:C,0)))</f>
        <v/>
      </c>
      <c r="F38" s="142" t="str">
        <f>IF(ISBLANK(A38),"",INDEX(PlantList!G:G,MATCH(A38,PlantList!C:C,0)))</f>
        <v/>
      </c>
      <c r="I38" s="144"/>
    </row>
    <row r="39" spans="1:9" x14ac:dyDescent="0.35">
      <c r="A39" s="132"/>
      <c r="B39" s="11" t="str">
        <f>IF(ISBLANK(A39),"",INDEX(PlantList!B:B,MATCH(A39,PlantList!C:C,0)))</f>
        <v/>
      </c>
      <c r="C39" s="11" t="str">
        <f>IF(ISBLANK(A39),"",INDEX(PlantList!D:D,MATCH(A39,PlantList!C:C,0)))</f>
        <v/>
      </c>
      <c r="D39" s="11" t="str">
        <f>IF(ISBLANK(A39),"",INDEX(PlantList!E:E,MATCH(A39,PlantList!C:C,0)))</f>
        <v/>
      </c>
      <c r="E39" s="11" t="str">
        <f>IF(ISBLANK(A39),"",INDEX(PlantList!F:F,MATCH(A39,PlantList!C:C,0)))</f>
        <v/>
      </c>
      <c r="F39" s="142" t="str">
        <f>IF(ISBLANK(A39),"",INDEX(PlantList!G:G,MATCH(A39,PlantList!C:C,0)))</f>
        <v/>
      </c>
      <c r="I39" s="144"/>
    </row>
    <row r="40" spans="1:9" x14ac:dyDescent="0.35">
      <c r="A40" s="132"/>
      <c r="B40" s="11" t="str">
        <f>IF(ISBLANK(A40),"",INDEX(PlantList!B:B,MATCH(A40,PlantList!C:C,0)))</f>
        <v/>
      </c>
      <c r="C40" s="11" t="str">
        <f>IF(ISBLANK(A40),"",INDEX(PlantList!D:D,MATCH(A40,PlantList!C:C,0)))</f>
        <v/>
      </c>
      <c r="D40" s="11" t="str">
        <f>IF(ISBLANK(A40),"",INDEX(PlantList!E:E,MATCH(A40,PlantList!C:C,0)))</f>
        <v/>
      </c>
      <c r="E40" s="11" t="str">
        <f>IF(ISBLANK(A40),"",INDEX(PlantList!F:F,MATCH(A40,PlantList!C:C,0)))</f>
        <v/>
      </c>
      <c r="F40" s="142" t="str">
        <f>IF(ISBLANK(A40),"",INDEX(PlantList!G:G,MATCH(A40,PlantList!C:C,0)))</f>
        <v/>
      </c>
      <c r="I40" s="144"/>
    </row>
    <row r="41" spans="1:9" x14ac:dyDescent="0.35">
      <c r="A41" s="132"/>
      <c r="B41" s="11" t="str">
        <f>IF(ISBLANK(A41),"",INDEX(PlantList!B:B,MATCH(A41,PlantList!C:C,0)))</f>
        <v/>
      </c>
      <c r="C41" s="11" t="str">
        <f>IF(ISBLANK(A41),"",INDEX(PlantList!D:D,MATCH(A41,PlantList!C:C,0)))</f>
        <v/>
      </c>
      <c r="D41" s="11" t="str">
        <f>IF(ISBLANK(A41),"",INDEX(PlantList!E:E,MATCH(A41,PlantList!C:C,0)))</f>
        <v/>
      </c>
      <c r="E41" s="11" t="str">
        <f>IF(ISBLANK(A41),"",INDEX(PlantList!F:F,MATCH(A41,PlantList!C:C,0)))</f>
        <v/>
      </c>
      <c r="F41" s="142" t="str">
        <f>IF(ISBLANK(A41),"",INDEX(PlantList!G:G,MATCH(A41,PlantList!C:C,0)))</f>
        <v/>
      </c>
      <c r="I41" s="144"/>
    </row>
    <row r="42" spans="1:9" x14ac:dyDescent="0.35">
      <c r="A42" s="132"/>
      <c r="B42" s="11" t="str">
        <f>IF(ISBLANK(A42),"",INDEX(PlantList!B:B,MATCH(A42,PlantList!C:C,0)))</f>
        <v/>
      </c>
      <c r="C42" s="11" t="str">
        <f>IF(ISBLANK(A42),"",INDEX(PlantList!D:D,MATCH(A42,PlantList!C:C,0)))</f>
        <v/>
      </c>
      <c r="D42" s="11" t="str">
        <f>IF(ISBLANK(A42),"",INDEX(PlantList!E:E,MATCH(A42,PlantList!C:C,0)))</f>
        <v/>
      </c>
      <c r="E42" s="11" t="str">
        <f>IF(ISBLANK(A42),"",INDEX(PlantList!F:F,MATCH(A42,PlantList!C:C,0)))</f>
        <v/>
      </c>
      <c r="F42" s="142" t="str">
        <f>IF(ISBLANK(A42),"",INDEX(PlantList!G:G,MATCH(A42,PlantList!C:C,0)))</f>
        <v/>
      </c>
      <c r="I42" s="144"/>
    </row>
    <row r="43" spans="1:9" x14ac:dyDescent="0.35">
      <c r="A43" s="132"/>
      <c r="B43" s="11" t="str">
        <f>IF(ISBLANK(A43),"",INDEX(PlantList!B:B,MATCH(A43,PlantList!C:C,0)))</f>
        <v/>
      </c>
      <c r="C43" s="11" t="str">
        <f>IF(ISBLANK(A43),"",INDEX(PlantList!D:D,MATCH(A43,PlantList!C:C,0)))</f>
        <v/>
      </c>
      <c r="D43" s="11" t="str">
        <f>IF(ISBLANK(A43),"",INDEX(PlantList!E:E,MATCH(A43,PlantList!C:C,0)))</f>
        <v/>
      </c>
      <c r="E43" s="11" t="str">
        <f>IF(ISBLANK(A43),"",INDEX(PlantList!F:F,MATCH(A43,PlantList!C:C,0)))</f>
        <v/>
      </c>
      <c r="F43" s="142" t="str">
        <f>IF(ISBLANK(A43),"",INDEX(PlantList!G:G,MATCH(A43,PlantList!C:C,0)))</f>
        <v/>
      </c>
      <c r="I43" s="144"/>
    </row>
    <row r="44" spans="1:9" x14ac:dyDescent="0.35">
      <c r="A44" s="132"/>
      <c r="B44" s="11" t="str">
        <f>IF(ISBLANK(A44),"",INDEX(PlantList!B:B,MATCH(A44,PlantList!C:C,0)))</f>
        <v/>
      </c>
      <c r="C44" s="11" t="str">
        <f>IF(ISBLANK(A44),"",INDEX(PlantList!D:D,MATCH(A44,PlantList!C:C,0)))</f>
        <v/>
      </c>
      <c r="D44" s="11" t="str">
        <f>IF(ISBLANK(A44),"",INDEX(PlantList!E:E,MATCH(A44,PlantList!C:C,0)))</f>
        <v/>
      </c>
      <c r="E44" s="11" t="str">
        <f>IF(ISBLANK(A44),"",INDEX(PlantList!F:F,MATCH(A44,PlantList!C:C,0)))</f>
        <v/>
      </c>
      <c r="F44" s="142" t="str">
        <f>IF(ISBLANK(A44),"",INDEX(PlantList!G:G,MATCH(A44,PlantList!C:C,0)))</f>
        <v/>
      </c>
      <c r="I44" s="144"/>
    </row>
    <row r="45" spans="1:9" x14ac:dyDescent="0.35">
      <c r="A45" s="132"/>
      <c r="B45" s="11" t="str">
        <f>IF(ISBLANK(A45),"",INDEX(PlantList!B:B,MATCH(A45,PlantList!C:C,0)))</f>
        <v/>
      </c>
      <c r="C45" s="11" t="str">
        <f>IF(ISBLANK(A45),"",INDEX(PlantList!D:D,MATCH(A45,PlantList!C:C,0)))</f>
        <v/>
      </c>
      <c r="D45" s="11" t="str">
        <f>IF(ISBLANK(A45),"",INDEX(PlantList!E:E,MATCH(A45,PlantList!C:C,0)))</f>
        <v/>
      </c>
      <c r="E45" s="11" t="str">
        <f>IF(ISBLANK(A45),"",INDEX(PlantList!F:F,MATCH(A45,PlantList!C:C,0)))</f>
        <v/>
      </c>
      <c r="F45" s="142" t="str">
        <f>IF(ISBLANK(A45),"",INDEX(PlantList!G:G,MATCH(A45,PlantList!C:C,0)))</f>
        <v/>
      </c>
      <c r="I45" s="144"/>
    </row>
    <row r="46" spans="1:9" x14ac:dyDescent="0.35">
      <c r="A46" s="132"/>
      <c r="B46" s="11" t="str">
        <f>IF(ISBLANK(A46),"",INDEX(PlantList!B:B,MATCH(A46,PlantList!C:C,0)))</f>
        <v/>
      </c>
      <c r="C46" s="11" t="str">
        <f>IF(ISBLANK(A46),"",INDEX(PlantList!D:D,MATCH(A46,PlantList!C:C,0)))</f>
        <v/>
      </c>
      <c r="D46" s="11" t="str">
        <f>IF(ISBLANK(A46),"",INDEX(PlantList!E:E,MATCH(A46,PlantList!C:C,0)))</f>
        <v/>
      </c>
      <c r="E46" s="11" t="str">
        <f>IF(ISBLANK(A46),"",INDEX(PlantList!F:F,MATCH(A46,PlantList!C:C,0)))</f>
        <v/>
      </c>
      <c r="F46" s="142" t="str">
        <f>IF(ISBLANK(A46),"",INDEX(PlantList!G:G,MATCH(A46,PlantList!C:C,0)))</f>
        <v/>
      </c>
      <c r="I46" s="144"/>
    </row>
    <row r="47" spans="1:9" x14ac:dyDescent="0.35">
      <c r="A47" s="132"/>
      <c r="B47" s="11" t="str">
        <f>IF(ISBLANK(A47),"",INDEX(PlantList!B:B,MATCH(A47,PlantList!C:C,0)))</f>
        <v/>
      </c>
      <c r="C47" s="11" t="str">
        <f>IF(ISBLANK(A47),"",INDEX(PlantList!D:D,MATCH(A47,PlantList!C:C,0)))</f>
        <v/>
      </c>
      <c r="D47" s="11" t="str">
        <f>IF(ISBLANK(A47),"",INDEX(PlantList!E:E,MATCH(A47,PlantList!C:C,0)))</f>
        <v/>
      </c>
      <c r="E47" s="11" t="str">
        <f>IF(ISBLANK(A47),"",INDEX(PlantList!F:F,MATCH(A47,PlantList!C:C,0)))</f>
        <v/>
      </c>
      <c r="F47" s="142" t="str">
        <f>IF(ISBLANK(A47),"",INDEX(PlantList!G:G,MATCH(A47,PlantList!C:C,0)))</f>
        <v/>
      </c>
      <c r="I47" s="144"/>
    </row>
    <row r="48" spans="1:9" x14ac:dyDescent="0.35">
      <c r="A48" s="132"/>
      <c r="B48" s="11" t="str">
        <f>IF(ISBLANK(A48),"",INDEX(PlantList!B:B,MATCH(A48,PlantList!C:C,0)))</f>
        <v/>
      </c>
      <c r="C48" s="11" t="str">
        <f>IF(ISBLANK(A48),"",INDEX(PlantList!D:D,MATCH(A48,PlantList!C:C,0)))</f>
        <v/>
      </c>
      <c r="D48" s="11" t="str">
        <f>IF(ISBLANK(A48),"",INDEX(PlantList!E:E,MATCH(A48,PlantList!C:C,0)))</f>
        <v/>
      </c>
      <c r="E48" s="11" t="str">
        <f>IF(ISBLANK(A48),"",INDEX(PlantList!F:F,MATCH(A48,PlantList!C:C,0)))</f>
        <v/>
      </c>
      <c r="F48" s="142" t="str">
        <f>IF(ISBLANK(A48),"",INDEX(PlantList!G:G,MATCH(A48,PlantList!C:C,0)))</f>
        <v/>
      </c>
      <c r="I48" s="144"/>
    </row>
    <row r="49" spans="1:9" x14ac:dyDescent="0.35">
      <c r="A49" s="132"/>
      <c r="B49" s="11" t="str">
        <f>IF(ISBLANK(A49),"",INDEX(PlantList!B:B,MATCH(A49,PlantList!C:C,0)))</f>
        <v/>
      </c>
      <c r="C49" s="11" t="str">
        <f>IF(ISBLANK(A49),"",INDEX(PlantList!D:D,MATCH(A49,PlantList!C:C,0)))</f>
        <v/>
      </c>
      <c r="D49" s="11" t="str">
        <f>IF(ISBLANK(A49),"",INDEX(PlantList!E:E,MATCH(A49,PlantList!C:C,0)))</f>
        <v/>
      </c>
      <c r="E49" s="11" t="str">
        <f>IF(ISBLANK(A49),"",INDEX(PlantList!F:F,MATCH(A49,PlantList!C:C,0)))</f>
        <v/>
      </c>
      <c r="F49" s="142" t="str">
        <f>IF(ISBLANK(A49),"",INDEX(PlantList!G:G,MATCH(A49,PlantList!C:C,0)))</f>
        <v/>
      </c>
      <c r="I49" s="144"/>
    </row>
    <row r="50" spans="1:9" x14ac:dyDescent="0.35">
      <c r="A50" s="132"/>
      <c r="B50" s="11" t="str">
        <f>IF(ISBLANK(A50),"",INDEX(PlantList!B:B,MATCH(A50,PlantList!C:C,0)))</f>
        <v/>
      </c>
      <c r="C50" s="11" t="str">
        <f>IF(ISBLANK(A50),"",INDEX(PlantList!D:D,MATCH(A50,PlantList!C:C,0)))</f>
        <v/>
      </c>
      <c r="D50" s="11" t="str">
        <f>IF(ISBLANK(A50),"",INDEX(PlantList!E:E,MATCH(A50,PlantList!C:C,0)))</f>
        <v/>
      </c>
      <c r="E50" s="11" t="str">
        <f>IF(ISBLANK(A50),"",INDEX(PlantList!F:F,MATCH(A50,PlantList!C:C,0)))</f>
        <v/>
      </c>
      <c r="F50" s="142" t="str">
        <f>IF(ISBLANK(A50),"",INDEX(PlantList!G:G,MATCH(A50,PlantList!C:C,0)))</f>
        <v/>
      </c>
      <c r="I50" s="144"/>
    </row>
    <row r="51" spans="1:9" x14ac:dyDescent="0.35">
      <c r="A51" s="132"/>
      <c r="B51" s="11" t="str">
        <f>IF(ISBLANK(A51),"",INDEX(PlantList!B:B,MATCH(A51,PlantList!C:C,0)))</f>
        <v/>
      </c>
      <c r="C51" s="11" t="str">
        <f>IF(ISBLANK(A51),"",INDEX(PlantList!D:D,MATCH(A51,PlantList!C:C,0)))</f>
        <v/>
      </c>
      <c r="D51" s="11" t="str">
        <f>IF(ISBLANK(A51),"",INDEX(PlantList!E:E,MATCH(A51,PlantList!C:C,0)))</f>
        <v/>
      </c>
      <c r="E51" s="11" t="str">
        <f>IF(ISBLANK(A51),"",INDEX(PlantList!F:F,MATCH(A51,PlantList!C:C,0)))</f>
        <v/>
      </c>
      <c r="F51" s="142" t="str">
        <f>IF(ISBLANK(A51),"",INDEX(PlantList!G:G,MATCH(A51,PlantList!C:C,0)))</f>
        <v/>
      </c>
      <c r="I51" s="144"/>
    </row>
    <row r="52" spans="1:9" x14ac:dyDescent="0.35">
      <c r="A52" s="132"/>
      <c r="B52" s="11" t="str">
        <f>IF(ISBLANK(A52),"",INDEX(PlantList!B:B,MATCH(A52,PlantList!C:C,0)))</f>
        <v/>
      </c>
      <c r="C52" s="11" t="str">
        <f>IF(ISBLANK(A52),"",INDEX(PlantList!D:D,MATCH(A52,PlantList!C:C,0)))</f>
        <v/>
      </c>
      <c r="D52" s="11" t="str">
        <f>IF(ISBLANK(A52),"",INDEX(PlantList!E:E,MATCH(A52,PlantList!C:C,0)))</f>
        <v/>
      </c>
      <c r="E52" s="11" t="str">
        <f>IF(ISBLANK(A52),"",INDEX(PlantList!F:F,MATCH(A52,PlantList!C:C,0)))</f>
        <v/>
      </c>
      <c r="F52" s="142" t="str">
        <f>IF(ISBLANK(A52),"",INDEX(PlantList!G:G,MATCH(A52,PlantList!C:C,0)))</f>
        <v/>
      </c>
      <c r="I52" s="144"/>
    </row>
    <row r="53" spans="1:9" x14ac:dyDescent="0.35">
      <c r="A53" s="132"/>
      <c r="B53" s="11" t="str">
        <f>IF(ISBLANK(A53),"",INDEX(PlantList!B:B,MATCH(A53,PlantList!C:C,0)))</f>
        <v/>
      </c>
      <c r="C53" s="11" t="str">
        <f>IF(ISBLANK(A53),"",INDEX(PlantList!D:D,MATCH(A53,PlantList!C:C,0)))</f>
        <v/>
      </c>
      <c r="D53" s="11" t="str">
        <f>IF(ISBLANK(A53),"",INDEX(PlantList!E:E,MATCH(A53,PlantList!C:C,0)))</f>
        <v/>
      </c>
      <c r="E53" s="11" t="str">
        <f>IF(ISBLANK(A53),"",INDEX(PlantList!F:F,MATCH(A53,PlantList!C:C,0)))</f>
        <v/>
      </c>
      <c r="F53" s="142" t="str">
        <f>IF(ISBLANK(A53),"",INDEX(PlantList!G:G,MATCH(A53,PlantList!C:C,0)))</f>
        <v/>
      </c>
      <c r="I53" s="144"/>
    </row>
    <row r="54" spans="1:9" x14ac:dyDescent="0.35">
      <c r="A54" s="132"/>
      <c r="B54" s="11" t="str">
        <f>IF(ISBLANK(A54),"",INDEX(PlantList!B:B,MATCH(A54,PlantList!C:C,0)))</f>
        <v/>
      </c>
      <c r="C54" s="11" t="str">
        <f>IF(ISBLANK(A54),"",INDEX(PlantList!D:D,MATCH(A54,PlantList!C:C,0)))</f>
        <v/>
      </c>
      <c r="D54" s="11" t="str">
        <f>IF(ISBLANK(A54),"",INDEX(PlantList!E:E,MATCH(A54,PlantList!C:C,0)))</f>
        <v/>
      </c>
      <c r="E54" s="11" t="str">
        <f>IF(ISBLANK(A54),"",INDEX(PlantList!F:F,MATCH(A54,PlantList!C:C,0)))</f>
        <v/>
      </c>
      <c r="F54" s="142" t="str">
        <f>IF(ISBLANK(A54),"",INDEX(PlantList!G:G,MATCH(A54,PlantList!C:C,0)))</f>
        <v/>
      </c>
      <c r="I54" s="144"/>
    </row>
    <row r="55" spans="1:9" x14ac:dyDescent="0.35">
      <c r="A55" s="132"/>
      <c r="B55" s="11" t="str">
        <f>IF(ISBLANK(A55),"",INDEX(PlantList!B:B,MATCH(A55,PlantList!C:C,0)))</f>
        <v/>
      </c>
      <c r="C55" s="11" t="str">
        <f>IF(ISBLANK(A55),"",INDEX(PlantList!D:D,MATCH(A55,PlantList!C:C,0)))</f>
        <v/>
      </c>
      <c r="D55" s="11" t="str">
        <f>IF(ISBLANK(A55),"",INDEX(PlantList!E:E,MATCH(A55,PlantList!C:C,0)))</f>
        <v/>
      </c>
      <c r="E55" s="11" t="str">
        <f>IF(ISBLANK(A55),"",INDEX(PlantList!F:F,MATCH(A55,PlantList!C:C,0)))</f>
        <v/>
      </c>
      <c r="F55" s="142" t="str">
        <f>IF(ISBLANK(A55),"",INDEX(PlantList!G:G,MATCH(A55,PlantList!C:C,0)))</f>
        <v/>
      </c>
      <c r="I55" s="144"/>
    </row>
    <row r="56" spans="1:9" x14ac:dyDescent="0.35">
      <c r="A56" s="132"/>
      <c r="B56" s="11" t="str">
        <f>IF(ISBLANK(A56),"",INDEX(PlantList!B:B,MATCH(A56,PlantList!C:C,0)))</f>
        <v/>
      </c>
      <c r="C56" s="11" t="str">
        <f>IF(ISBLANK(A56),"",INDEX(PlantList!D:D,MATCH(A56,PlantList!C:C,0)))</f>
        <v/>
      </c>
      <c r="D56" s="11" t="str">
        <f>IF(ISBLANK(A56),"",INDEX(PlantList!E:E,MATCH(A56,PlantList!C:C,0)))</f>
        <v/>
      </c>
      <c r="E56" s="11" t="str">
        <f>IF(ISBLANK(A56),"",INDEX(PlantList!F:F,MATCH(A56,PlantList!C:C,0)))</f>
        <v/>
      </c>
      <c r="F56" s="142" t="str">
        <f>IF(ISBLANK(A56),"",INDEX(PlantList!G:G,MATCH(A56,PlantList!C:C,0)))</f>
        <v/>
      </c>
      <c r="I56" s="144"/>
    </row>
    <row r="57" spans="1:9" x14ac:dyDescent="0.35">
      <c r="A57" s="132"/>
      <c r="B57" s="11" t="str">
        <f>IF(ISBLANK(A57),"",INDEX(PlantList!B:B,MATCH(A57,PlantList!C:C,0)))</f>
        <v/>
      </c>
      <c r="C57" s="11" t="str">
        <f>IF(ISBLANK(A57),"",INDEX(PlantList!D:D,MATCH(A57,PlantList!C:C,0)))</f>
        <v/>
      </c>
      <c r="D57" s="11" t="str">
        <f>IF(ISBLANK(A57),"",INDEX(PlantList!E:E,MATCH(A57,PlantList!C:C,0)))</f>
        <v/>
      </c>
      <c r="E57" s="11" t="str">
        <f>IF(ISBLANK(A57),"",INDEX(PlantList!F:F,MATCH(A57,PlantList!C:C,0)))</f>
        <v/>
      </c>
      <c r="F57" s="142" t="str">
        <f>IF(ISBLANK(A57),"",INDEX(PlantList!G:G,MATCH(A57,PlantList!C:C,0)))</f>
        <v/>
      </c>
      <c r="I57" s="144"/>
    </row>
    <row r="58" spans="1:9" x14ac:dyDescent="0.35">
      <c r="A58" s="132"/>
      <c r="B58" s="11" t="str">
        <f>IF(ISBLANK(A58),"",INDEX(PlantList!B:B,MATCH(A58,PlantList!C:C,0)))</f>
        <v/>
      </c>
      <c r="C58" s="11" t="str">
        <f>IF(ISBLANK(A58),"",INDEX(PlantList!D:D,MATCH(A58,PlantList!C:C,0)))</f>
        <v/>
      </c>
      <c r="D58" s="11" t="str">
        <f>IF(ISBLANK(A58),"",INDEX(PlantList!E:E,MATCH(A58,PlantList!C:C,0)))</f>
        <v/>
      </c>
      <c r="E58" s="11" t="str">
        <f>IF(ISBLANK(A58),"",INDEX(PlantList!F:F,MATCH(A58,PlantList!C:C,0)))</f>
        <v/>
      </c>
      <c r="F58" s="142" t="str">
        <f>IF(ISBLANK(A58),"",INDEX(PlantList!G:G,MATCH(A58,PlantList!C:C,0)))</f>
        <v/>
      </c>
      <c r="I58" s="144"/>
    </row>
    <row r="59" spans="1:9" x14ac:dyDescent="0.35">
      <c r="A59" s="132"/>
      <c r="B59" s="11" t="str">
        <f>IF(ISBLANK(A59),"",INDEX(PlantList!B:B,MATCH(A59,PlantList!C:C,0)))</f>
        <v/>
      </c>
      <c r="C59" s="11" t="str">
        <f>IF(ISBLANK(A59),"",INDEX(PlantList!D:D,MATCH(A59,PlantList!C:C,0)))</f>
        <v/>
      </c>
      <c r="D59" s="11" t="str">
        <f>IF(ISBLANK(A59),"",INDEX(PlantList!E:E,MATCH(A59,PlantList!C:C,0)))</f>
        <v/>
      </c>
      <c r="E59" s="11" t="str">
        <f>IF(ISBLANK(A59),"",INDEX(PlantList!F:F,MATCH(A59,PlantList!C:C,0)))</f>
        <v/>
      </c>
      <c r="F59" s="142" t="str">
        <f>IF(ISBLANK(A59),"",INDEX(PlantList!G:G,MATCH(A59,PlantList!C:C,0)))</f>
        <v/>
      </c>
      <c r="I59" s="144"/>
    </row>
    <row r="60" spans="1:9" x14ac:dyDescent="0.35">
      <c r="A60" s="132"/>
      <c r="B60" s="11" t="str">
        <f>IF(ISBLANK(A60),"",INDEX(PlantList!B:B,MATCH(A60,PlantList!C:C,0)))</f>
        <v/>
      </c>
      <c r="C60" s="11" t="str">
        <f>IF(ISBLANK(A60),"",INDEX(PlantList!D:D,MATCH(A60,PlantList!C:C,0)))</f>
        <v/>
      </c>
      <c r="D60" s="11" t="str">
        <f>IF(ISBLANK(A60),"",INDEX(PlantList!E:E,MATCH(A60,PlantList!C:C,0)))</f>
        <v/>
      </c>
      <c r="E60" s="11" t="str">
        <f>IF(ISBLANK(A60),"",INDEX(PlantList!F:F,MATCH(A60,PlantList!C:C,0)))</f>
        <v/>
      </c>
      <c r="F60" s="142" t="str">
        <f>IF(ISBLANK(A60),"",INDEX(PlantList!G:G,MATCH(A60,PlantList!C:C,0)))</f>
        <v/>
      </c>
      <c r="I60" s="144"/>
    </row>
    <row r="61" spans="1:9" x14ac:dyDescent="0.35">
      <c r="A61" s="132"/>
      <c r="B61" s="11" t="str">
        <f>IF(ISBLANK(A61),"",INDEX(PlantList!B:B,MATCH(A61,PlantList!C:C,0)))</f>
        <v/>
      </c>
      <c r="C61" s="11" t="str">
        <f>IF(ISBLANK(A61),"",INDEX(PlantList!D:D,MATCH(A61,PlantList!C:C,0)))</f>
        <v/>
      </c>
      <c r="D61" s="11" t="str">
        <f>IF(ISBLANK(A61),"",INDEX(PlantList!E:E,MATCH(A61,PlantList!C:C,0)))</f>
        <v/>
      </c>
      <c r="E61" s="11" t="str">
        <f>IF(ISBLANK(A61),"",INDEX(PlantList!F:F,MATCH(A61,PlantList!C:C,0)))</f>
        <v/>
      </c>
      <c r="F61" s="142" t="str">
        <f>IF(ISBLANK(A61),"",INDEX(PlantList!G:G,MATCH(A61,PlantList!C:C,0)))</f>
        <v/>
      </c>
      <c r="I61" s="144"/>
    </row>
    <row r="62" spans="1:9" x14ac:dyDescent="0.35">
      <c r="A62" s="132"/>
      <c r="B62" s="11" t="str">
        <f>IF(ISBLANK(A62),"",INDEX(PlantList!B:B,MATCH(A62,PlantList!C:C,0)))</f>
        <v/>
      </c>
      <c r="C62" s="11" t="str">
        <f>IF(ISBLANK(A62),"",INDEX(PlantList!D:D,MATCH(A62,PlantList!C:C,0)))</f>
        <v/>
      </c>
      <c r="D62" s="11" t="str">
        <f>IF(ISBLANK(A62),"",INDEX(PlantList!E:E,MATCH(A62,PlantList!C:C,0)))</f>
        <v/>
      </c>
      <c r="E62" s="11" t="str">
        <f>IF(ISBLANK(A62),"",INDEX(PlantList!F:F,MATCH(A62,PlantList!C:C,0)))</f>
        <v/>
      </c>
      <c r="F62" s="142" t="str">
        <f>IF(ISBLANK(A62),"",INDEX(PlantList!G:G,MATCH(A62,PlantList!C:C,0)))</f>
        <v/>
      </c>
      <c r="I62" s="144"/>
    </row>
    <row r="63" spans="1:9" x14ac:dyDescent="0.35">
      <c r="A63" s="132"/>
      <c r="B63" s="11" t="str">
        <f>IF(ISBLANK(A63),"",INDEX(PlantList!B:B,MATCH(A63,PlantList!C:C,0)))</f>
        <v/>
      </c>
      <c r="C63" s="11" t="str">
        <f>IF(ISBLANK(A63),"",INDEX(PlantList!D:D,MATCH(A63,PlantList!C:C,0)))</f>
        <v/>
      </c>
      <c r="D63" s="11" t="str">
        <f>IF(ISBLANK(A63),"",INDEX(PlantList!E:E,MATCH(A63,PlantList!C:C,0)))</f>
        <v/>
      </c>
      <c r="E63" s="11" t="str">
        <f>IF(ISBLANK(A63),"",INDEX(PlantList!F:F,MATCH(A63,PlantList!C:C,0)))</f>
        <v/>
      </c>
      <c r="F63" s="142" t="str">
        <f>IF(ISBLANK(A63),"",INDEX(PlantList!G:G,MATCH(A63,PlantList!C:C,0)))</f>
        <v/>
      </c>
      <c r="I63" s="144"/>
    </row>
    <row r="64" spans="1:9" x14ac:dyDescent="0.35">
      <c r="A64" s="132"/>
      <c r="B64" s="11" t="str">
        <f>IF(ISBLANK(A64),"",INDEX(PlantList!B:B,MATCH(A64,PlantList!C:C,0)))</f>
        <v/>
      </c>
      <c r="C64" s="11" t="str">
        <f>IF(ISBLANK(A64),"",INDEX(PlantList!D:D,MATCH(A64,PlantList!C:C,0)))</f>
        <v/>
      </c>
      <c r="D64" s="11" t="str">
        <f>IF(ISBLANK(A64),"",INDEX(PlantList!E:E,MATCH(A64,PlantList!C:C,0)))</f>
        <v/>
      </c>
      <c r="E64" s="11" t="str">
        <f>IF(ISBLANK(A64),"",INDEX(PlantList!F:F,MATCH(A64,PlantList!C:C,0)))</f>
        <v/>
      </c>
      <c r="F64" s="142" t="str">
        <f>IF(ISBLANK(A64),"",INDEX(PlantList!G:G,MATCH(A64,PlantList!C:C,0)))</f>
        <v/>
      </c>
      <c r="I64" s="144"/>
    </row>
    <row r="65" spans="1:9" x14ac:dyDescent="0.35">
      <c r="A65" s="132"/>
      <c r="B65" s="11" t="str">
        <f>IF(ISBLANK(A65),"",INDEX(PlantList!B:B,MATCH(A65,PlantList!C:C,0)))</f>
        <v/>
      </c>
      <c r="C65" s="11" t="str">
        <f>IF(ISBLANK(A65),"",INDEX(PlantList!D:D,MATCH(A65,PlantList!C:C,0)))</f>
        <v/>
      </c>
      <c r="D65" s="11" t="str">
        <f>IF(ISBLANK(A65),"",INDEX(PlantList!E:E,MATCH(A65,PlantList!C:C,0)))</f>
        <v/>
      </c>
      <c r="E65" s="11" t="str">
        <f>IF(ISBLANK(A65),"",INDEX(PlantList!F:F,MATCH(A65,PlantList!C:C,0)))</f>
        <v/>
      </c>
      <c r="F65" s="142" t="str">
        <f>IF(ISBLANK(A65),"",INDEX(PlantList!G:G,MATCH(A65,PlantList!C:C,0)))</f>
        <v/>
      </c>
      <c r="I65" s="144"/>
    </row>
    <row r="66" spans="1:9" x14ac:dyDescent="0.35">
      <c r="A66" s="132"/>
      <c r="B66" s="11" t="str">
        <f>IF(ISBLANK(A66),"",INDEX(PlantList!B:B,MATCH(A66,PlantList!C:C,0)))</f>
        <v/>
      </c>
      <c r="C66" s="11" t="str">
        <f>IF(ISBLANK(A66),"",INDEX(PlantList!D:D,MATCH(A66,PlantList!C:C,0)))</f>
        <v/>
      </c>
      <c r="D66" s="11" t="str">
        <f>IF(ISBLANK(A66),"",INDEX(PlantList!E:E,MATCH(A66,PlantList!C:C,0)))</f>
        <v/>
      </c>
      <c r="E66" s="11" t="str">
        <f>IF(ISBLANK(A66),"",INDEX(PlantList!F:F,MATCH(A66,PlantList!C:C,0)))</f>
        <v/>
      </c>
      <c r="F66" s="142" t="str">
        <f>IF(ISBLANK(A66),"",INDEX(PlantList!G:G,MATCH(A66,PlantList!C:C,0)))</f>
        <v/>
      </c>
      <c r="I66" s="144"/>
    </row>
    <row r="67" spans="1:9" x14ac:dyDescent="0.35">
      <c r="A67" s="132"/>
      <c r="B67" s="11" t="str">
        <f>IF(ISBLANK(A67),"",INDEX(PlantList!B:B,MATCH(A67,PlantList!C:C,0)))</f>
        <v/>
      </c>
      <c r="C67" s="11" t="str">
        <f>IF(ISBLANK(A67),"",INDEX(PlantList!D:D,MATCH(A67,PlantList!C:C,0)))</f>
        <v/>
      </c>
      <c r="D67" s="11" t="str">
        <f>IF(ISBLANK(A67),"",INDEX(PlantList!E:E,MATCH(A67,PlantList!C:C,0)))</f>
        <v/>
      </c>
      <c r="E67" s="11" t="str">
        <f>IF(ISBLANK(A67),"",INDEX(PlantList!F:F,MATCH(A67,PlantList!C:C,0)))</f>
        <v/>
      </c>
      <c r="F67" s="142" t="str">
        <f>IF(ISBLANK(A67),"",INDEX(PlantList!G:G,MATCH(A67,PlantList!C:C,0)))</f>
        <v/>
      </c>
      <c r="I67" s="144"/>
    </row>
    <row r="68" spans="1:9" x14ac:dyDescent="0.35">
      <c r="A68" s="132"/>
      <c r="B68" s="11" t="str">
        <f>IF(ISBLANK(A68),"",INDEX(PlantList!B:B,MATCH(A68,PlantList!C:C,0)))</f>
        <v/>
      </c>
      <c r="C68" s="11" t="str">
        <f>IF(ISBLANK(A68),"",INDEX(PlantList!D:D,MATCH(A68,PlantList!C:C,0)))</f>
        <v/>
      </c>
      <c r="D68" s="11" t="str">
        <f>IF(ISBLANK(A68),"",INDEX(PlantList!E:E,MATCH(A68,PlantList!C:C,0)))</f>
        <v/>
      </c>
      <c r="E68" s="11" t="str">
        <f>IF(ISBLANK(A68),"",INDEX(PlantList!F:F,MATCH(A68,PlantList!C:C,0)))</f>
        <v/>
      </c>
      <c r="F68" s="142" t="str">
        <f>IF(ISBLANK(A68),"",INDEX(PlantList!G:G,MATCH(A68,PlantList!C:C,0)))</f>
        <v/>
      </c>
      <c r="I68" s="144"/>
    </row>
    <row r="69" spans="1:9" x14ac:dyDescent="0.35">
      <c r="A69" s="132"/>
      <c r="B69" s="11" t="str">
        <f>IF(ISBLANK(A69),"",INDEX(PlantList!B:B,MATCH(A69,PlantList!C:C,0)))</f>
        <v/>
      </c>
      <c r="C69" s="11" t="str">
        <f>IF(ISBLANK(A69),"",INDEX(PlantList!D:D,MATCH(A69,PlantList!C:C,0)))</f>
        <v/>
      </c>
      <c r="D69" s="11" t="str">
        <f>IF(ISBLANK(A69),"",INDEX(PlantList!E:E,MATCH(A69,PlantList!C:C,0)))</f>
        <v/>
      </c>
      <c r="E69" s="11" t="str">
        <f>IF(ISBLANK(A69),"",INDEX(PlantList!F:F,MATCH(A69,PlantList!C:C,0)))</f>
        <v/>
      </c>
      <c r="F69" s="142" t="str">
        <f>IF(ISBLANK(A69),"",INDEX(PlantList!G:G,MATCH(A69,PlantList!C:C,0)))</f>
        <v/>
      </c>
      <c r="I69" s="144"/>
    </row>
    <row r="70" spans="1:9" x14ac:dyDescent="0.35">
      <c r="A70" s="132"/>
      <c r="B70" s="11" t="str">
        <f>IF(ISBLANK(A70),"",INDEX(PlantList!B:B,MATCH(A70,PlantList!C:C,0)))</f>
        <v/>
      </c>
      <c r="C70" s="11" t="str">
        <f>IF(ISBLANK(A70),"",INDEX(PlantList!D:D,MATCH(A70,PlantList!C:C,0)))</f>
        <v/>
      </c>
      <c r="D70" s="11" t="str">
        <f>IF(ISBLANK(A70),"",INDEX(PlantList!E:E,MATCH(A70,PlantList!C:C,0)))</f>
        <v/>
      </c>
      <c r="E70" s="11" t="str">
        <f>IF(ISBLANK(A70),"",INDEX(PlantList!F:F,MATCH(A70,PlantList!C:C,0)))</f>
        <v/>
      </c>
      <c r="F70" s="142" t="str">
        <f>IF(ISBLANK(A70),"",INDEX(PlantList!G:G,MATCH(A70,PlantList!C:C,0)))</f>
        <v/>
      </c>
      <c r="I70" s="144"/>
    </row>
    <row r="71" spans="1:9" x14ac:dyDescent="0.35">
      <c r="A71" s="132"/>
      <c r="B71" s="11" t="str">
        <f>IF(ISBLANK(A71),"",INDEX(PlantList!B:B,MATCH(A71,PlantList!C:C,0)))</f>
        <v/>
      </c>
      <c r="C71" s="11" t="str">
        <f>IF(ISBLANK(A71),"",INDEX(PlantList!D:D,MATCH(A71,PlantList!C:C,0)))</f>
        <v/>
      </c>
      <c r="D71" s="11" t="str">
        <f>IF(ISBLANK(A71),"",INDEX(PlantList!E:E,MATCH(A71,PlantList!C:C,0)))</f>
        <v/>
      </c>
      <c r="E71" s="11" t="str">
        <f>IF(ISBLANK(A71),"",INDEX(PlantList!F:F,MATCH(A71,PlantList!C:C,0)))</f>
        <v/>
      </c>
      <c r="F71" s="142" t="str">
        <f>IF(ISBLANK(A71),"",INDEX(PlantList!G:G,MATCH(A71,PlantList!C:C,0)))</f>
        <v/>
      </c>
      <c r="I71" s="144"/>
    </row>
    <row r="72" spans="1:9" x14ac:dyDescent="0.35">
      <c r="A72" s="132"/>
      <c r="B72" s="11" t="str">
        <f>IF(ISBLANK(A72),"",INDEX(PlantList!B:B,MATCH(A72,PlantList!C:C,0)))</f>
        <v/>
      </c>
      <c r="C72" s="11" t="str">
        <f>IF(ISBLANK(A72),"",INDEX(PlantList!D:D,MATCH(A72,PlantList!C:C,0)))</f>
        <v/>
      </c>
      <c r="D72" s="11" t="str">
        <f>IF(ISBLANK(A72),"",INDEX(PlantList!E:E,MATCH(A72,PlantList!C:C,0)))</f>
        <v/>
      </c>
      <c r="E72" s="11" t="str">
        <f>IF(ISBLANK(A72),"",INDEX(PlantList!F:F,MATCH(A72,PlantList!C:C,0)))</f>
        <v/>
      </c>
      <c r="F72" s="142" t="str">
        <f>IF(ISBLANK(A72),"",INDEX(PlantList!G:G,MATCH(A72,PlantList!C:C,0)))</f>
        <v/>
      </c>
      <c r="I72" s="144"/>
    </row>
    <row r="73" spans="1:9" x14ac:dyDescent="0.35">
      <c r="A73" s="132"/>
      <c r="B73" s="11" t="str">
        <f>IF(ISBLANK(A73),"",INDEX(PlantList!B:B,MATCH(A73,PlantList!C:C,0)))</f>
        <v/>
      </c>
      <c r="C73" s="11" t="str">
        <f>IF(ISBLANK(A73),"",INDEX(PlantList!D:D,MATCH(A73,PlantList!C:C,0)))</f>
        <v/>
      </c>
      <c r="D73" s="11" t="str">
        <f>IF(ISBLANK(A73),"",INDEX(PlantList!E:E,MATCH(A73,PlantList!C:C,0)))</f>
        <v/>
      </c>
      <c r="E73" s="11" t="str">
        <f>IF(ISBLANK(A73),"",INDEX(PlantList!F:F,MATCH(A73,PlantList!C:C,0)))</f>
        <v/>
      </c>
      <c r="F73" s="142" t="str">
        <f>IF(ISBLANK(A73),"",INDEX(PlantList!G:G,MATCH(A73,PlantList!C:C,0)))</f>
        <v/>
      </c>
      <c r="I73" s="144"/>
    </row>
    <row r="74" spans="1:9" x14ac:dyDescent="0.35">
      <c r="A74" s="132"/>
      <c r="B74" s="11" t="str">
        <f>IF(ISBLANK(A74),"",INDEX(PlantList!B:B,MATCH(A74,PlantList!C:C,0)))</f>
        <v/>
      </c>
      <c r="C74" s="11" t="str">
        <f>IF(ISBLANK(A74),"",INDEX(PlantList!D:D,MATCH(A74,PlantList!C:C,0)))</f>
        <v/>
      </c>
      <c r="D74" s="11" t="str">
        <f>IF(ISBLANK(A74),"",INDEX(PlantList!E:E,MATCH(A74,PlantList!C:C,0)))</f>
        <v/>
      </c>
      <c r="E74" s="11" t="str">
        <f>IF(ISBLANK(A74),"",INDEX(PlantList!F:F,MATCH(A74,PlantList!C:C,0)))</f>
        <v/>
      </c>
      <c r="F74" s="142" t="str">
        <f>IF(ISBLANK(A74),"",INDEX(PlantList!G:G,MATCH(A74,PlantList!C:C,0)))</f>
        <v/>
      </c>
      <c r="I74" s="144"/>
    </row>
    <row r="75" spans="1:9" x14ac:dyDescent="0.35">
      <c r="A75" s="132"/>
      <c r="B75" s="11" t="str">
        <f>IF(ISBLANK(A75),"",INDEX(PlantList!B:B,MATCH(A75,PlantList!C:C,0)))</f>
        <v/>
      </c>
      <c r="C75" s="11" t="str">
        <f>IF(ISBLANK(A75),"",INDEX(PlantList!D:D,MATCH(A75,PlantList!C:C,0)))</f>
        <v/>
      </c>
      <c r="D75" s="11" t="str">
        <f>IF(ISBLANK(A75),"",INDEX(PlantList!E:E,MATCH(A75,PlantList!C:C,0)))</f>
        <v/>
      </c>
      <c r="E75" s="11" t="str">
        <f>IF(ISBLANK(A75),"",INDEX(PlantList!F:F,MATCH(A75,PlantList!C:C,0)))</f>
        <v/>
      </c>
      <c r="F75" s="142" t="str">
        <f>IF(ISBLANK(A75),"",INDEX(PlantList!G:G,MATCH(A75,PlantList!C:C,0)))</f>
        <v/>
      </c>
      <c r="I75" s="144"/>
    </row>
    <row r="76" spans="1:9" x14ac:dyDescent="0.35">
      <c r="A76" s="132"/>
      <c r="B76" s="11" t="str">
        <f>IF(ISBLANK(A76),"",INDEX(PlantList!B:B,MATCH(A76,PlantList!C:C,0)))</f>
        <v/>
      </c>
      <c r="C76" s="11" t="str">
        <f>IF(ISBLANK(A76),"",INDEX(PlantList!D:D,MATCH(A76,PlantList!C:C,0)))</f>
        <v/>
      </c>
      <c r="D76" s="11" t="str">
        <f>IF(ISBLANK(A76),"",INDEX(PlantList!E:E,MATCH(A76,PlantList!C:C,0)))</f>
        <v/>
      </c>
      <c r="E76" s="11" t="str">
        <f>IF(ISBLANK(A76),"",INDEX(PlantList!F:F,MATCH(A76,PlantList!C:C,0)))</f>
        <v/>
      </c>
      <c r="F76" s="142" t="str">
        <f>IF(ISBLANK(A76),"",INDEX(PlantList!G:G,MATCH(A76,PlantList!C:C,0)))</f>
        <v/>
      </c>
      <c r="I76" s="144"/>
    </row>
    <row r="77" spans="1:9" x14ac:dyDescent="0.35">
      <c r="A77" s="132"/>
      <c r="B77" s="11" t="str">
        <f>IF(ISBLANK(A77),"",INDEX(PlantList!B:B,MATCH(A77,PlantList!C:C,0)))</f>
        <v/>
      </c>
      <c r="C77" s="11" t="str">
        <f>IF(ISBLANK(A77),"",INDEX(PlantList!D:D,MATCH(A77,PlantList!C:C,0)))</f>
        <v/>
      </c>
      <c r="D77" s="11" t="str">
        <f>IF(ISBLANK(A77),"",INDEX(PlantList!E:E,MATCH(A77,PlantList!C:C,0)))</f>
        <v/>
      </c>
      <c r="E77" s="11" t="str">
        <f>IF(ISBLANK(A77),"",INDEX(PlantList!F:F,MATCH(A77,PlantList!C:C,0)))</f>
        <v/>
      </c>
      <c r="F77" s="142" t="str">
        <f>IF(ISBLANK(A77),"",INDEX(PlantList!G:G,MATCH(A77,PlantList!C:C,0)))</f>
        <v/>
      </c>
      <c r="I77" s="144"/>
    </row>
    <row r="78" spans="1:9" x14ac:dyDescent="0.35">
      <c r="A78" s="132"/>
      <c r="B78" s="11" t="str">
        <f>IF(ISBLANK(A78),"",INDEX(PlantList!B:B,MATCH(A78,PlantList!C:C,0)))</f>
        <v/>
      </c>
      <c r="C78" s="11" t="str">
        <f>IF(ISBLANK(A78),"",INDEX(PlantList!D:D,MATCH(A78,PlantList!C:C,0)))</f>
        <v/>
      </c>
      <c r="D78" s="11" t="str">
        <f>IF(ISBLANK(A78),"",INDEX(PlantList!E:E,MATCH(A78,PlantList!C:C,0)))</f>
        <v/>
      </c>
      <c r="E78" s="11" t="str">
        <f>IF(ISBLANK(A78),"",INDEX(PlantList!F:F,MATCH(A78,PlantList!C:C,0)))</f>
        <v/>
      </c>
      <c r="F78" s="142" t="str">
        <f>IF(ISBLANK(A78),"",INDEX(PlantList!G:G,MATCH(A78,PlantList!C:C,0)))</f>
        <v/>
      </c>
      <c r="I78" s="144"/>
    </row>
    <row r="79" spans="1:9" x14ac:dyDescent="0.35">
      <c r="A79" s="132"/>
      <c r="B79" s="11" t="str">
        <f>IF(ISBLANK(A79),"",INDEX(PlantList!B:B,MATCH(A79,PlantList!C:C,0)))</f>
        <v/>
      </c>
      <c r="C79" s="11" t="str">
        <f>IF(ISBLANK(A79),"",INDEX(PlantList!D:D,MATCH(A79,PlantList!C:C,0)))</f>
        <v/>
      </c>
      <c r="D79" s="11" t="str">
        <f>IF(ISBLANK(A79),"",INDEX(PlantList!E:E,MATCH(A79,PlantList!C:C,0)))</f>
        <v/>
      </c>
      <c r="E79" s="11" t="str">
        <f>IF(ISBLANK(A79),"",INDEX(PlantList!F:F,MATCH(A79,PlantList!C:C,0)))</f>
        <v/>
      </c>
      <c r="F79" s="142" t="str">
        <f>IF(ISBLANK(A79),"",INDEX(PlantList!G:G,MATCH(A79,PlantList!C:C,0)))</f>
        <v/>
      </c>
      <c r="I79" s="144"/>
    </row>
    <row r="80" spans="1:9" x14ac:dyDescent="0.35">
      <c r="A80" s="132"/>
      <c r="B80" s="11" t="str">
        <f>IF(ISBLANK(A80),"",INDEX(PlantList!B:B,MATCH(A80,PlantList!C:C,0)))</f>
        <v/>
      </c>
      <c r="C80" s="11" t="str">
        <f>IF(ISBLANK(A80),"",INDEX(PlantList!D:D,MATCH(A80,PlantList!C:C,0)))</f>
        <v/>
      </c>
      <c r="D80" s="11" t="str">
        <f>IF(ISBLANK(A80),"",INDEX(PlantList!E:E,MATCH(A80,PlantList!C:C,0)))</f>
        <v/>
      </c>
      <c r="E80" s="11" t="str">
        <f>IF(ISBLANK(A80),"",INDEX(PlantList!F:F,MATCH(A80,PlantList!C:C,0)))</f>
        <v/>
      </c>
      <c r="F80" s="142" t="str">
        <f>IF(ISBLANK(A80),"",INDEX(PlantList!G:G,MATCH(A80,PlantList!C:C,0)))</f>
        <v/>
      </c>
      <c r="I80" s="144"/>
    </row>
    <row r="81" spans="1:9" x14ac:dyDescent="0.35">
      <c r="A81" s="132"/>
      <c r="B81" s="11" t="str">
        <f>IF(ISBLANK(A81),"",INDEX(PlantList!B:B,MATCH(A81,PlantList!C:C,0)))</f>
        <v/>
      </c>
      <c r="C81" s="11" t="str">
        <f>IF(ISBLANK(A81),"",INDEX(PlantList!D:D,MATCH(A81,PlantList!C:C,0)))</f>
        <v/>
      </c>
      <c r="D81" s="11" t="str">
        <f>IF(ISBLANK(A81),"",INDEX(PlantList!E:E,MATCH(A81,PlantList!C:C,0)))</f>
        <v/>
      </c>
      <c r="E81" s="11" t="str">
        <f>IF(ISBLANK(A81),"",INDEX(PlantList!F:F,MATCH(A81,PlantList!C:C,0)))</f>
        <v/>
      </c>
      <c r="F81" s="142" t="str">
        <f>IF(ISBLANK(A81),"",INDEX(PlantList!G:G,MATCH(A81,PlantList!C:C,0)))</f>
        <v/>
      </c>
      <c r="I81" s="144"/>
    </row>
    <row r="82" spans="1:9" x14ac:dyDescent="0.35">
      <c r="A82" s="132"/>
      <c r="B82" s="11" t="str">
        <f>IF(ISBLANK(A82),"",INDEX(PlantList!B:B,MATCH(A82,PlantList!C:C,0)))</f>
        <v/>
      </c>
      <c r="C82" s="11" t="str">
        <f>IF(ISBLANK(A82),"",INDEX(PlantList!D:D,MATCH(A82,PlantList!C:C,0)))</f>
        <v/>
      </c>
      <c r="D82" s="11" t="str">
        <f>IF(ISBLANK(A82),"",INDEX(PlantList!E:E,MATCH(A82,PlantList!C:C,0)))</f>
        <v/>
      </c>
      <c r="E82" s="11" t="str">
        <f>IF(ISBLANK(A82),"",INDEX(PlantList!F:F,MATCH(A82,PlantList!C:C,0)))</f>
        <v/>
      </c>
      <c r="F82" s="142" t="str">
        <f>IF(ISBLANK(A82),"",INDEX(PlantList!G:G,MATCH(A82,PlantList!C:C,0)))</f>
        <v/>
      </c>
      <c r="I82" s="144"/>
    </row>
    <row r="83" spans="1:9" x14ac:dyDescent="0.35">
      <c r="A83" s="132"/>
      <c r="B83" s="11" t="str">
        <f>IF(ISBLANK(A83),"",INDEX(PlantList!B:B,MATCH(A83,PlantList!C:C,0)))</f>
        <v/>
      </c>
      <c r="C83" s="11" t="str">
        <f>IF(ISBLANK(A83),"",INDEX(PlantList!D:D,MATCH(A83,PlantList!C:C,0)))</f>
        <v/>
      </c>
      <c r="D83" s="11" t="str">
        <f>IF(ISBLANK(A83),"",INDEX(PlantList!E:E,MATCH(A83,PlantList!C:C,0)))</f>
        <v/>
      </c>
      <c r="E83" s="11" t="str">
        <f>IF(ISBLANK(A83),"",INDEX(PlantList!F:F,MATCH(A83,PlantList!C:C,0)))</f>
        <v/>
      </c>
      <c r="F83" s="142" t="str">
        <f>IF(ISBLANK(A83),"",INDEX(PlantList!G:G,MATCH(A83,PlantList!C:C,0)))</f>
        <v/>
      </c>
      <c r="I83" s="144"/>
    </row>
    <row r="84" spans="1:9" x14ac:dyDescent="0.35">
      <c r="A84" s="132"/>
      <c r="B84" s="11" t="str">
        <f>IF(ISBLANK(A84),"",INDEX(PlantList!B:B,MATCH(A84,PlantList!C:C,0)))</f>
        <v/>
      </c>
      <c r="C84" s="11" t="str">
        <f>IF(ISBLANK(A84),"",INDEX(PlantList!D:D,MATCH(A84,PlantList!C:C,0)))</f>
        <v/>
      </c>
      <c r="D84" s="11" t="str">
        <f>IF(ISBLANK(A84),"",INDEX(PlantList!E:E,MATCH(A84,PlantList!C:C,0)))</f>
        <v/>
      </c>
      <c r="E84" s="11" t="str">
        <f>IF(ISBLANK(A84),"",INDEX(PlantList!F:F,MATCH(A84,PlantList!C:C,0)))</f>
        <v/>
      </c>
      <c r="F84" s="142" t="str">
        <f>IF(ISBLANK(A84),"",INDEX(PlantList!G:G,MATCH(A84,PlantList!C:C,0)))</f>
        <v/>
      </c>
      <c r="I84" s="144"/>
    </row>
    <row r="85" spans="1:9" x14ac:dyDescent="0.35">
      <c r="A85" s="132"/>
      <c r="B85" s="11" t="str">
        <f>IF(ISBLANK(A85),"",INDEX(PlantList!B:B,MATCH(A85,PlantList!C:C,0)))</f>
        <v/>
      </c>
      <c r="C85" s="11" t="str">
        <f>IF(ISBLANK(A85),"",INDEX(PlantList!D:D,MATCH(A85,PlantList!C:C,0)))</f>
        <v/>
      </c>
      <c r="D85" s="11" t="str">
        <f>IF(ISBLANK(A85),"",INDEX(PlantList!E:E,MATCH(A85,PlantList!C:C,0)))</f>
        <v/>
      </c>
      <c r="E85" s="11" t="str">
        <f>IF(ISBLANK(A85),"",INDEX(PlantList!F:F,MATCH(A85,PlantList!C:C,0)))</f>
        <v/>
      </c>
      <c r="F85" s="142" t="str">
        <f>IF(ISBLANK(A85),"",INDEX(PlantList!G:G,MATCH(A85,PlantList!C:C,0)))</f>
        <v/>
      </c>
      <c r="I85" s="144"/>
    </row>
    <row r="86" spans="1:9" x14ac:dyDescent="0.35">
      <c r="A86" s="132"/>
      <c r="B86" s="11" t="str">
        <f>IF(ISBLANK(A86),"",INDEX(PlantList!B:B,MATCH(A86,PlantList!C:C,0)))</f>
        <v/>
      </c>
      <c r="C86" s="11" t="str">
        <f>IF(ISBLANK(A86),"",INDEX(PlantList!D:D,MATCH(A86,PlantList!C:C,0)))</f>
        <v/>
      </c>
      <c r="D86" s="11" t="str">
        <f>IF(ISBLANK(A86),"",INDEX(PlantList!E:E,MATCH(A86,PlantList!C:C,0)))</f>
        <v/>
      </c>
      <c r="E86" s="11" t="str">
        <f>IF(ISBLANK(A86),"",INDEX(PlantList!F:F,MATCH(A86,PlantList!C:C,0)))</f>
        <v/>
      </c>
      <c r="F86" s="142" t="str">
        <f>IF(ISBLANK(A86),"",INDEX(PlantList!G:G,MATCH(A86,PlantList!C:C,0)))</f>
        <v/>
      </c>
      <c r="I86" s="144"/>
    </row>
    <row r="87" spans="1:9" x14ac:dyDescent="0.35">
      <c r="A87" s="132"/>
      <c r="B87" s="11" t="str">
        <f>IF(ISBLANK(A87),"",INDEX(PlantList!B:B,MATCH(A87,PlantList!C:C,0)))</f>
        <v/>
      </c>
      <c r="C87" s="11" t="str">
        <f>IF(ISBLANK(A87),"",INDEX(PlantList!D:D,MATCH(A87,PlantList!C:C,0)))</f>
        <v/>
      </c>
      <c r="D87" s="11" t="str">
        <f>IF(ISBLANK(A87),"",INDEX(PlantList!E:E,MATCH(A87,PlantList!C:C,0)))</f>
        <v/>
      </c>
      <c r="E87" s="11" t="str">
        <f>IF(ISBLANK(A87),"",INDEX(PlantList!F:F,MATCH(A87,PlantList!C:C,0)))</f>
        <v/>
      </c>
      <c r="F87" s="142" t="str">
        <f>IF(ISBLANK(A87),"",INDEX(PlantList!G:G,MATCH(A87,PlantList!C:C,0)))</f>
        <v/>
      </c>
      <c r="I87" s="144"/>
    </row>
    <row r="88" spans="1:9" x14ac:dyDescent="0.35">
      <c r="A88" s="132"/>
      <c r="B88" s="11" t="str">
        <f>IF(ISBLANK(A88),"",INDEX(PlantList!B:B,MATCH(A88,PlantList!C:C,0)))</f>
        <v/>
      </c>
      <c r="C88" s="11" t="str">
        <f>IF(ISBLANK(A88),"",INDEX(PlantList!D:D,MATCH(A88,PlantList!C:C,0)))</f>
        <v/>
      </c>
      <c r="D88" s="11" t="str">
        <f>IF(ISBLANK(A88),"",INDEX(PlantList!E:E,MATCH(A88,PlantList!C:C,0)))</f>
        <v/>
      </c>
      <c r="E88" s="11" t="str">
        <f>IF(ISBLANK(A88),"",INDEX(PlantList!F:F,MATCH(A88,PlantList!C:C,0)))</f>
        <v/>
      </c>
      <c r="F88" s="142" t="str">
        <f>IF(ISBLANK(A88),"",INDEX(PlantList!G:G,MATCH(A88,PlantList!C:C,0)))</f>
        <v/>
      </c>
      <c r="I88" s="144"/>
    </row>
    <row r="89" spans="1:9" x14ac:dyDescent="0.35">
      <c r="A89" s="132"/>
      <c r="B89" s="11" t="str">
        <f>IF(ISBLANK(A89),"",INDEX(PlantList!B:B,MATCH(A89,PlantList!C:C,0)))</f>
        <v/>
      </c>
      <c r="C89" s="11" t="str">
        <f>IF(ISBLANK(A89),"",INDEX(PlantList!D:D,MATCH(A89,PlantList!C:C,0)))</f>
        <v/>
      </c>
      <c r="D89" s="11" t="str">
        <f>IF(ISBLANK(A89),"",INDEX(PlantList!E:E,MATCH(A89,PlantList!C:C,0)))</f>
        <v/>
      </c>
      <c r="E89" s="11" t="str">
        <f>IF(ISBLANK(A89),"",INDEX(PlantList!F:F,MATCH(A89,PlantList!C:C,0)))</f>
        <v/>
      </c>
      <c r="F89" s="142" t="str">
        <f>IF(ISBLANK(A89),"",INDEX(PlantList!G:G,MATCH(A89,PlantList!C:C,0)))</f>
        <v/>
      </c>
      <c r="I89" s="144"/>
    </row>
    <row r="90" spans="1:9" x14ac:dyDescent="0.35">
      <c r="A90" s="132"/>
      <c r="B90" s="11" t="str">
        <f>IF(ISBLANK(A90),"",INDEX(PlantList!B:B,MATCH(A90,PlantList!C:C,0)))</f>
        <v/>
      </c>
      <c r="C90" s="11" t="str">
        <f>IF(ISBLANK(A90),"",INDEX(PlantList!D:D,MATCH(A90,PlantList!C:C,0)))</f>
        <v/>
      </c>
      <c r="D90" s="11" t="str">
        <f>IF(ISBLANK(A90),"",INDEX(PlantList!E:E,MATCH(A90,PlantList!C:C,0)))</f>
        <v/>
      </c>
      <c r="E90" s="11" t="str">
        <f>IF(ISBLANK(A90),"",INDEX(PlantList!F:F,MATCH(A90,PlantList!C:C,0)))</f>
        <v/>
      </c>
      <c r="F90" s="142" t="str">
        <f>IF(ISBLANK(A90),"",INDEX(PlantList!G:G,MATCH(A90,PlantList!C:C,0)))</f>
        <v/>
      </c>
      <c r="I90" s="144"/>
    </row>
    <row r="91" spans="1:9" x14ac:dyDescent="0.35">
      <c r="A91" s="132"/>
      <c r="B91" s="11" t="str">
        <f>IF(ISBLANK(A91),"",INDEX(PlantList!B:B,MATCH(A91,PlantList!C:C,0)))</f>
        <v/>
      </c>
      <c r="C91" s="11" t="str">
        <f>IF(ISBLANK(A91),"",INDEX(PlantList!D:D,MATCH(A91,PlantList!C:C,0)))</f>
        <v/>
      </c>
      <c r="D91" s="11" t="str">
        <f>IF(ISBLANK(A91),"",INDEX(PlantList!E:E,MATCH(A91,PlantList!C:C,0)))</f>
        <v/>
      </c>
      <c r="E91" s="11" t="str">
        <f>IF(ISBLANK(A91),"",INDEX(PlantList!F:F,MATCH(A91,PlantList!C:C,0)))</f>
        <v/>
      </c>
      <c r="F91" s="142" t="str">
        <f>IF(ISBLANK(A91),"",INDEX(PlantList!G:G,MATCH(A91,PlantList!C:C,0)))</f>
        <v/>
      </c>
      <c r="I91" s="144"/>
    </row>
    <row r="92" spans="1:9" x14ac:dyDescent="0.35">
      <c r="A92" s="132"/>
      <c r="B92" s="11" t="str">
        <f>IF(ISBLANK(A92),"",INDEX(PlantList!B:B,MATCH(A92,PlantList!C:C,0)))</f>
        <v/>
      </c>
      <c r="C92" s="11" t="str">
        <f>IF(ISBLANK(A92),"",INDEX(PlantList!D:D,MATCH(A92,PlantList!C:C,0)))</f>
        <v/>
      </c>
      <c r="D92" s="11" t="str">
        <f>IF(ISBLANK(A92),"",INDEX(PlantList!E:E,MATCH(A92,PlantList!C:C,0)))</f>
        <v/>
      </c>
      <c r="E92" s="11" t="str">
        <f>IF(ISBLANK(A92),"",INDEX(PlantList!F:F,MATCH(A92,PlantList!C:C,0)))</f>
        <v/>
      </c>
      <c r="F92" s="142" t="str">
        <f>IF(ISBLANK(A92),"",INDEX(PlantList!G:G,MATCH(A92,PlantList!C:C,0)))</f>
        <v/>
      </c>
      <c r="I92" s="144"/>
    </row>
    <row r="93" spans="1:9" x14ac:dyDescent="0.35">
      <c r="A93" s="132"/>
      <c r="B93" s="11" t="str">
        <f>IF(ISBLANK(A93),"",INDEX(PlantList!B:B,MATCH(A93,PlantList!C:C,0)))</f>
        <v/>
      </c>
      <c r="C93" s="11" t="str">
        <f>IF(ISBLANK(A93),"",INDEX(PlantList!D:D,MATCH(A93,PlantList!C:C,0)))</f>
        <v/>
      </c>
      <c r="D93" s="11" t="str">
        <f>IF(ISBLANK(A93),"",INDEX(PlantList!E:E,MATCH(A93,PlantList!C:C,0)))</f>
        <v/>
      </c>
      <c r="E93" s="11" t="str">
        <f>IF(ISBLANK(A93),"",INDEX(PlantList!F:F,MATCH(A93,PlantList!C:C,0)))</f>
        <v/>
      </c>
      <c r="F93" s="142" t="str">
        <f>IF(ISBLANK(A93),"",INDEX(PlantList!G:G,MATCH(A93,PlantList!C:C,0)))</f>
        <v/>
      </c>
      <c r="I93" s="144"/>
    </row>
    <row r="94" spans="1:9" x14ac:dyDescent="0.35">
      <c r="A94" s="132"/>
      <c r="B94" s="11" t="str">
        <f>IF(ISBLANK(A94),"",INDEX(PlantList!B:B,MATCH(A94,PlantList!C:C,0)))</f>
        <v/>
      </c>
      <c r="C94" s="11" t="str">
        <f>IF(ISBLANK(A94),"",INDEX(PlantList!D:D,MATCH(A94,PlantList!C:C,0)))</f>
        <v/>
      </c>
      <c r="D94" s="11" t="str">
        <f>IF(ISBLANK(A94),"",INDEX(PlantList!E:E,MATCH(A94,PlantList!C:C,0)))</f>
        <v/>
      </c>
      <c r="E94" s="11" t="str">
        <f>IF(ISBLANK(A94),"",INDEX(PlantList!F:F,MATCH(A94,PlantList!C:C,0)))</f>
        <v/>
      </c>
      <c r="F94" s="142" t="str">
        <f>IF(ISBLANK(A94),"",INDEX(PlantList!G:G,MATCH(A94,PlantList!C:C,0)))</f>
        <v/>
      </c>
      <c r="I94" s="144"/>
    </row>
    <row r="95" spans="1:9" x14ac:dyDescent="0.35">
      <c r="A95" s="132"/>
      <c r="B95" s="11" t="str">
        <f>IF(ISBLANK(A95),"",INDEX(PlantList!B:B,MATCH(A95,PlantList!C:C,0)))</f>
        <v/>
      </c>
      <c r="C95" s="11" t="str">
        <f>IF(ISBLANK(A95),"",INDEX(PlantList!D:D,MATCH(A95,PlantList!C:C,0)))</f>
        <v/>
      </c>
      <c r="D95" s="11" t="str">
        <f>IF(ISBLANK(A95),"",INDEX(PlantList!E:E,MATCH(A95,PlantList!C:C,0)))</f>
        <v/>
      </c>
      <c r="E95" s="11" t="str">
        <f>IF(ISBLANK(A95),"",INDEX(PlantList!F:F,MATCH(A95,PlantList!C:C,0)))</f>
        <v/>
      </c>
      <c r="F95" s="142" t="str">
        <f>IF(ISBLANK(A95),"",INDEX(PlantList!G:G,MATCH(A95,PlantList!C:C,0)))</f>
        <v/>
      </c>
      <c r="I95" s="144"/>
    </row>
    <row r="96" spans="1:9" x14ac:dyDescent="0.35">
      <c r="A96" s="132"/>
      <c r="B96" s="11" t="str">
        <f>IF(ISBLANK(A96),"",INDEX(PlantList!B:B,MATCH(A96,PlantList!C:C,0)))</f>
        <v/>
      </c>
      <c r="C96" s="11" t="str">
        <f>IF(ISBLANK(A96),"",INDEX(PlantList!D:D,MATCH(A96,PlantList!C:C,0)))</f>
        <v/>
      </c>
      <c r="D96" s="11" t="str">
        <f>IF(ISBLANK(A96),"",INDEX(PlantList!E:E,MATCH(A96,PlantList!C:C,0)))</f>
        <v/>
      </c>
      <c r="E96" s="11" t="str">
        <f>IF(ISBLANK(A96),"",INDEX(PlantList!F:F,MATCH(A96,PlantList!C:C,0)))</f>
        <v/>
      </c>
      <c r="F96" s="142" t="str">
        <f>IF(ISBLANK(A96),"",INDEX(PlantList!G:G,MATCH(A96,PlantList!C:C,0)))</f>
        <v/>
      </c>
      <c r="I96" s="144"/>
    </row>
    <row r="97" spans="1:9" x14ac:dyDescent="0.35">
      <c r="A97" s="132"/>
      <c r="B97" s="11" t="str">
        <f>IF(ISBLANK(A97),"",INDEX(PlantList!B:B,MATCH(A97,PlantList!C:C,0)))</f>
        <v/>
      </c>
      <c r="C97" s="11" t="str">
        <f>IF(ISBLANK(A97),"",INDEX(PlantList!D:D,MATCH(A97,PlantList!C:C,0)))</f>
        <v/>
      </c>
      <c r="D97" s="11" t="str">
        <f>IF(ISBLANK(A97),"",INDEX(PlantList!E:E,MATCH(A97,PlantList!C:C,0)))</f>
        <v/>
      </c>
      <c r="E97" s="11" t="str">
        <f>IF(ISBLANK(A97),"",INDEX(PlantList!F:F,MATCH(A97,PlantList!C:C,0)))</f>
        <v/>
      </c>
      <c r="F97" s="142" t="str">
        <f>IF(ISBLANK(A97),"",INDEX(PlantList!G:G,MATCH(A97,PlantList!C:C,0)))</f>
        <v/>
      </c>
      <c r="I97" s="144"/>
    </row>
    <row r="98" spans="1:9" x14ac:dyDescent="0.35">
      <c r="A98" s="132"/>
      <c r="B98" s="11" t="str">
        <f>IF(ISBLANK(A98),"",INDEX(PlantList!B:B,MATCH(A98,PlantList!C:C,0)))</f>
        <v/>
      </c>
      <c r="C98" s="11" t="str">
        <f>IF(ISBLANK(A98),"",INDEX(PlantList!D:D,MATCH(A98,PlantList!C:C,0)))</f>
        <v/>
      </c>
      <c r="D98" s="11" t="str">
        <f>IF(ISBLANK(A98),"",INDEX(PlantList!E:E,MATCH(A98,PlantList!C:C,0)))</f>
        <v/>
      </c>
      <c r="E98" s="11" t="str">
        <f>IF(ISBLANK(A98),"",INDEX(PlantList!F:F,MATCH(A98,PlantList!C:C,0)))</f>
        <v/>
      </c>
      <c r="F98" s="142" t="str">
        <f>IF(ISBLANK(A98),"",INDEX(PlantList!G:G,MATCH(A98,PlantList!C:C,0)))</f>
        <v/>
      </c>
      <c r="I98" s="144"/>
    </row>
    <row r="99" spans="1:9" x14ac:dyDescent="0.35">
      <c r="A99" s="132"/>
      <c r="B99" s="11" t="str">
        <f>IF(ISBLANK(A99),"",INDEX(PlantList!B:B,MATCH(A99,PlantList!C:C,0)))</f>
        <v/>
      </c>
      <c r="C99" s="11" t="str">
        <f>IF(ISBLANK(A99),"",INDEX(PlantList!D:D,MATCH(A99,PlantList!C:C,0)))</f>
        <v/>
      </c>
      <c r="D99" s="11" t="str">
        <f>IF(ISBLANK(A99),"",INDEX(PlantList!E:E,MATCH(A99,PlantList!C:C,0)))</f>
        <v/>
      </c>
      <c r="E99" s="11" t="str">
        <f>IF(ISBLANK(A99),"",INDEX(PlantList!F:F,MATCH(A99,PlantList!C:C,0)))</f>
        <v/>
      </c>
      <c r="F99" s="142" t="str">
        <f>IF(ISBLANK(A99),"",INDEX(PlantList!G:G,MATCH(A99,PlantList!C:C,0)))</f>
        <v/>
      </c>
      <c r="I99" s="144"/>
    </row>
    <row r="100" spans="1:9" x14ac:dyDescent="0.35">
      <c r="A100" s="132"/>
      <c r="B100" s="11" t="str">
        <f>IF(ISBLANK(A100),"",INDEX(PlantList!B:B,MATCH(A100,PlantList!C:C,0)))</f>
        <v/>
      </c>
      <c r="C100" s="11" t="str">
        <f>IF(ISBLANK(A100),"",INDEX(PlantList!D:D,MATCH(A100,PlantList!C:C,0)))</f>
        <v/>
      </c>
      <c r="D100" s="11" t="str">
        <f>IF(ISBLANK(A100),"",INDEX(PlantList!E:E,MATCH(A100,PlantList!C:C,0)))</f>
        <v/>
      </c>
      <c r="E100" s="11" t="str">
        <f>IF(ISBLANK(A100),"",INDEX(PlantList!F:F,MATCH(A100,PlantList!C:C,0)))</f>
        <v/>
      </c>
      <c r="F100" s="142" t="str">
        <f>IF(ISBLANK(A100),"",INDEX(PlantList!G:G,MATCH(A100,PlantList!C:C,0)))</f>
        <v/>
      </c>
      <c r="I100" s="144"/>
    </row>
    <row r="101" spans="1:9" x14ac:dyDescent="0.35">
      <c r="A101" s="132"/>
      <c r="B101" s="11" t="str">
        <f>IF(ISBLANK(A101),"",INDEX(PlantList!B:B,MATCH(A101,PlantList!C:C,0)))</f>
        <v/>
      </c>
      <c r="C101" s="11" t="str">
        <f>IF(ISBLANK(A101),"",INDEX(PlantList!D:D,MATCH(A101,PlantList!C:C,0)))</f>
        <v/>
      </c>
      <c r="D101" s="11" t="str">
        <f>IF(ISBLANK(A101),"",INDEX(PlantList!E:E,MATCH(A101,PlantList!C:C,0)))</f>
        <v/>
      </c>
      <c r="E101" s="11" t="str">
        <f>IF(ISBLANK(A101),"",INDEX(PlantList!F:F,MATCH(A101,PlantList!C:C,0)))</f>
        <v/>
      </c>
      <c r="F101" s="142" t="str">
        <f>IF(ISBLANK(A101),"",INDEX(PlantList!G:G,MATCH(A101,PlantList!C:C,0)))</f>
        <v/>
      </c>
      <c r="I101" s="144"/>
    </row>
    <row r="102" spans="1:9" x14ac:dyDescent="0.35">
      <c r="A102" s="132"/>
      <c r="B102" s="11" t="str">
        <f>IF(ISBLANK(A102),"",INDEX(PlantList!B:B,MATCH(A102,PlantList!C:C,0)))</f>
        <v/>
      </c>
      <c r="C102" s="11" t="str">
        <f>IF(ISBLANK(A102),"",INDEX(PlantList!D:D,MATCH(A102,PlantList!C:C,0)))</f>
        <v/>
      </c>
      <c r="D102" s="11" t="str">
        <f>IF(ISBLANK(A102),"",INDEX(PlantList!E:E,MATCH(A102,PlantList!C:C,0)))</f>
        <v/>
      </c>
      <c r="E102" s="11" t="str">
        <f>IF(ISBLANK(A102),"",INDEX(PlantList!F:F,MATCH(A102,PlantList!C:C,0)))</f>
        <v/>
      </c>
      <c r="F102" s="142" t="str">
        <f>IF(ISBLANK(A102),"",INDEX(PlantList!G:G,MATCH(A102,PlantList!C:C,0)))</f>
        <v/>
      </c>
      <c r="I102" s="144"/>
    </row>
    <row r="103" spans="1:9" s="15" customFormat="1" x14ac:dyDescent="0.35">
      <c r="A103" s="133"/>
      <c r="B103" s="16" t="str">
        <f>IF(ISBLANK(A103),"",INDEX(PlantList!B:B,MATCH(A103,PlantList!C:C,0)))</f>
        <v/>
      </c>
      <c r="C103" s="15" t="str">
        <f>IF(ISBLANK(A103),"",INDEX(PlantList!D:D,MATCH(A103,PlantList!C:C,0)))</f>
        <v/>
      </c>
      <c r="D103" s="16" t="str">
        <f>IF(ISBLANK(A103),"",INDEX(PlantList!E:E,MATCH(A103,PlantList!C:C,0)))</f>
        <v/>
      </c>
      <c r="E103" s="15" t="str">
        <f>IF(ISBLANK(A103),"",INDEX(PlantList!F:F,MATCH(A103,PlantList!C:C,0)))</f>
        <v/>
      </c>
      <c r="F103" s="143" t="str">
        <f>IF(ISBLANK(A103),"",INDEX(PlantList!G:G,MATCH(A103,PlantList!C:C,0)))</f>
        <v/>
      </c>
      <c r="H103" s="137"/>
      <c r="I103" s="145"/>
    </row>
    <row r="104" spans="1:9" x14ac:dyDescent="0.35">
      <c r="G104" s="10"/>
    </row>
  </sheetData>
  <conditionalFormatting sqref="C1:E102 C105:E1048576">
    <cfRule type="containsText" dxfId="7" priority="2" operator="containsText" text="TRUE">
      <formula>NOT(ISERROR(SEARCH("TRUE",C1)))</formula>
    </cfRule>
  </conditionalFormatting>
  <conditionalFormatting sqref="F1:F102 F105:F1048576">
    <cfRule type="containsText" dxfId="6" priority="1" operator="containsText" text="TRUE">
      <formula>NOT(ISERROR(SEARCH("TRUE",F1)))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erize_coverage">
                <anchor moveWithCells="1">
                  <from>
                    <xdr:col>2</xdr:col>
                    <xdr:colOff>171450</xdr:colOff>
                    <xdr:row>0</xdr:row>
                    <xdr:rowOff>31750</xdr:rowOff>
                  </from>
                  <to>
                    <xdr:col>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dd_woody">
                <anchor moveWithCells="1">
                  <from>
                    <xdr:col>2</xdr:col>
                    <xdr:colOff>171450</xdr:colOff>
                    <xdr:row>1</xdr:row>
                    <xdr:rowOff>107950</xdr:rowOff>
                  </from>
                  <to>
                    <xdr:col>5</xdr:col>
                    <xdr:colOff>266700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991"/>
  <sheetViews>
    <sheetView workbookViewId="0">
      <selection activeCell="C20" sqref="C20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1"/>
      <c r="B2" s="34" t="s">
        <v>11874</v>
      </c>
      <c r="C2" s="35" t="s">
        <v>11875</v>
      </c>
      <c r="D2" s="36" t="b">
        <v>0</v>
      </c>
      <c r="E2" s="36" t="b">
        <v>0</v>
      </c>
      <c r="F2" s="36" t="b">
        <v>1</v>
      </c>
      <c r="G2" s="36" t="b">
        <v>0</v>
      </c>
    </row>
    <row r="3" spans="1:7" x14ac:dyDescent="0.35">
      <c r="A3" s="1"/>
      <c r="B3" s="34" t="s">
        <v>11874</v>
      </c>
      <c r="C3" s="35" t="s">
        <v>11860</v>
      </c>
      <c r="D3" s="36" t="b">
        <v>0</v>
      </c>
      <c r="E3" s="36" t="b">
        <v>0</v>
      </c>
      <c r="F3" s="36" t="b">
        <v>0</v>
      </c>
      <c r="G3" s="36" t="b">
        <v>0</v>
      </c>
    </row>
    <row r="4" spans="1:7" x14ac:dyDescent="0.35">
      <c r="A4" t="s">
        <v>7</v>
      </c>
      <c r="B4" t="s">
        <v>8</v>
      </c>
      <c r="C4" t="s">
        <v>9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10</v>
      </c>
      <c r="B5" t="s">
        <v>11</v>
      </c>
      <c r="C5" t="s">
        <v>12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13</v>
      </c>
      <c r="B6" t="s">
        <v>14</v>
      </c>
      <c r="C6" t="s">
        <v>15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16</v>
      </c>
      <c r="B7" t="s">
        <v>17</v>
      </c>
      <c r="C7" t="s">
        <v>18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19</v>
      </c>
      <c r="B8" t="s">
        <v>20</v>
      </c>
      <c r="C8" t="s">
        <v>21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22</v>
      </c>
      <c r="B9" t="s">
        <v>23</v>
      </c>
      <c r="C9" t="s">
        <v>24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25</v>
      </c>
      <c r="B10" t="s">
        <v>26</v>
      </c>
      <c r="C10" t="s">
        <v>27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28</v>
      </c>
      <c r="B11" t="s">
        <v>29</v>
      </c>
      <c r="C11" t="s">
        <v>30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31</v>
      </c>
      <c r="B12" t="s">
        <v>32</v>
      </c>
      <c r="C12" t="s">
        <v>33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34</v>
      </c>
      <c r="B13" t="s">
        <v>35</v>
      </c>
      <c r="C13" t="s">
        <v>36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37</v>
      </c>
      <c r="B14" t="s">
        <v>38</v>
      </c>
      <c r="C14" t="s">
        <v>39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40</v>
      </c>
      <c r="B15" t="s">
        <v>41</v>
      </c>
      <c r="C15" t="s">
        <v>42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43</v>
      </c>
      <c r="B16" t="s">
        <v>44</v>
      </c>
      <c r="C16" t="s">
        <v>45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46</v>
      </c>
      <c r="B17" t="s">
        <v>47</v>
      </c>
      <c r="C17" t="s">
        <v>48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49</v>
      </c>
      <c r="B18" t="s">
        <v>50</v>
      </c>
      <c r="C18" t="s">
        <v>51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52</v>
      </c>
      <c r="B19" t="s">
        <v>53</v>
      </c>
      <c r="C19" t="s">
        <v>54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55</v>
      </c>
      <c r="B20" t="s">
        <v>56</v>
      </c>
      <c r="C20" t="s">
        <v>57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58</v>
      </c>
      <c r="B21" t="s">
        <v>59</v>
      </c>
      <c r="C21" t="s">
        <v>60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61</v>
      </c>
      <c r="B22" t="s">
        <v>62</v>
      </c>
      <c r="C22" t="s">
        <v>63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64</v>
      </c>
      <c r="B23" t="s">
        <v>65</v>
      </c>
      <c r="C23" t="s">
        <v>66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67</v>
      </c>
      <c r="B24" t="s">
        <v>68</v>
      </c>
      <c r="C24" t="s">
        <v>69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70</v>
      </c>
      <c r="B25" t="s">
        <v>68</v>
      </c>
      <c r="C25" t="s">
        <v>71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72</v>
      </c>
      <c r="B26" t="s">
        <v>73</v>
      </c>
      <c r="C26" t="s">
        <v>74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75</v>
      </c>
      <c r="B27" t="s">
        <v>76</v>
      </c>
      <c r="C27" t="s">
        <v>77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78</v>
      </c>
      <c r="B28" t="s">
        <v>79</v>
      </c>
      <c r="C28" t="s">
        <v>80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81</v>
      </c>
      <c r="B29" t="s">
        <v>82</v>
      </c>
      <c r="C29" t="s">
        <v>83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84</v>
      </c>
      <c r="B30" t="s">
        <v>85</v>
      </c>
      <c r="C30" t="s">
        <v>86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87</v>
      </c>
      <c r="B31" t="s">
        <v>85</v>
      </c>
      <c r="C31" t="s">
        <v>88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89</v>
      </c>
      <c r="B32" t="s">
        <v>90</v>
      </c>
      <c r="C32" t="s">
        <v>91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92</v>
      </c>
      <c r="B33" t="s">
        <v>93</v>
      </c>
      <c r="C33" t="s">
        <v>94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95</v>
      </c>
      <c r="B34" t="s">
        <v>96</v>
      </c>
      <c r="C34" t="s">
        <v>97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98</v>
      </c>
      <c r="B35" t="s">
        <v>99</v>
      </c>
      <c r="C35" t="s">
        <v>100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101</v>
      </c>
      <c r="B36" t="s">
        <v>102</v>
      </c>
      <c r="C36" t="s">
        <v>103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104</v>
      </c>
      <c r="B37" t="s">
        <v>105</v>
      </c>
      <c r="C37" t="s">
        <v>106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107</v>
      </c>
      <c r="B38" t="s">
        <v>108</v>
      </c>
      <c r="C38" t="s">
        <v>109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110</v>
      </c>
      <c r="B39" t="s">
        <v>111</v>
      </c>
      <c r="C39" t="s">
        <v>112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113</v>
      </c>
      <c r="B40" t="s">
        <v>114</v>
      </c>
      <c r="C40" t="s">
        <v>115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116</v>
      </c>
      <c r="B41" t="s">
        <v>117</v>
      </c>
      <c r="C41" t="s">
        <v>118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119</v>
      </c>
      <c r="B42" t="s">
        <v>120</v>
      </c>
      <c r="C42" t="s">
        <v>121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122</v>
      </c>
      <c r="B43" t="s">
        <v>120</v>
      </c>
      <c r="C43" t="s">
        <v>123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124</v>
      </c>
      <c r="B44" t="s">
        <v>125</v>
      </c>
      <c r="C44" t="s">
        <v>126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127</v>
      </c>
      <c r="B45" t="s">
        <v>128</v>
      </c>
      <c r="C45" t="s">
        <v>129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130</v>
      </c>
      <c r="B46" t="s">
        <v>131</v>
      </c>
      <c r="C46" t="s">
        <v>132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133</v>
      </c>
      <c r="B47" t="s">
        <v>134</v>
      </c>
      <c r="C47" t="s">
        <v>135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136</v>
      </c>
      <c r="B48" t="s">
        <v>137</v>
      </c>
      <c r="C48" t="s">
        <v>138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139</v>
      </c>
      <c r="B49" t="s">
        <v>140</v>
      </c>
      <c r="C49" t="s">
        <v>141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142</v>
      </c>
      <c r="B50" t="s">
        <v>143</v>
      </c>
      <c r="C50" t="s">
        <v>144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145</v>
      </c>
      <c r="B51" t="s">
        <v>146</v>
      </c>
      <c r="C51" t="s">
        <v>147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148</v>
      </c>
      <c r="B52" t="s">
        <v>149</v>
      </c>
      <c r="C52" t="s">
        <v>150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151</v>
      </c>
      <c r="B53" t="s">
        <v>152</v>
      </c>
      <c r="C53" t="s">
        <v>153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154</v>
      </c>
      <c r="B54" t="s">
        <v>155</v>
      </c>
      <c r="C54" t="s">
        <v>156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157</v>
      </c>
      <c r="B55" t="s">
        <v>158</v>
      </c>
      <c r="C55" t="s">
        <v>159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160</v>
      </c>
      <c r="B56" t="s">
        <v>161</v>
      </c>
      <c r="C56" t="s">
        <v>162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163</v>
      </c>
      <c r="B57" t="s">
        <v>164</v>
      </c>
      <c r="C57" t="s">
        <v>165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166</v>
      </c>
      <c r="B58" t="s">
        <v>167</v>
      </c>
      <c r="C58" t="s">
        <v>168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169</v>
      </c>
      <c r="B59" t="s">
        <v>170</v>
      </c>
      <c r="C59" t="s">
        <v>171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172</v>
      </c>
      <c r="B60" t="s">
        <v>173</v>
      </c>
      <c r="C60" t="s">
        <v>174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175</v>
      </c>
      <c r="B61" t="s">
        <v>176</v>
      </c>
      <c r="C61" t="s">
        <v>177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178</v>
      </c>
      <c r="B62" t="s">
        <v>179</v>
      </c>
      <c r="C62" t="s">
        <v>180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181</v>
      </c>
      <c r="B63" t="s">
        <v>182</v>
      </c>
      <c r="C63" t="s">
        <v>183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184</v>
      </c>
      <c r="B64" t="s">
        <v>185</v>
      </c>
      <c r="C64" t="s">
        <v>186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187</v>
      </c>
      <c r="B65" t="s">
        <v>188</v>
      </c>
      <c r="C65" t="s">
        <v>189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190</v>
      </c>
      <c r="B66" t="s">
        <v>191</v>
      </c>
      <c r="C66" t="s">
        <v>192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193</v>
      </c>
      <c r="B67" t="s">
        <v>194</v>
      </c>
      <c r="C67" t="s">
        <v>195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196</v>
      </c>
      <c r="B68" t="s">
        <v>197</v>
      </c>
      <c r="C68" t="s">
        <v>198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199</v>
      </c>
      <c r="B69" t="s">
        <v>200</v>
      </c>
      <c r="C69" t="s">
        <v>201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202</v>
      </c>
      <c r="B70" t="s">
        <v>203</v>
      </c>
      <c r="C70" t="s">
        <v>204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205</v>
      </c>
      <c r="B71" t="s">
        <v>206</v>
      </c>
      <c r="C71" t="s">
        <v>207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208</v>
      </c>
      <c r="B72" t="s">
        <v>209</v>
      </c>
      <c r="C72" t="s">
        <v>210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211</v>
      </c>
      <c r="B73" t="s">
        <v>212</v>
      </c>
      <c r="C73" t="s">
        <v>213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214</v>
      </c>
      <c r="B74" t="s">
        <v>215</v>
      </c>
      <c r="C74" t="s">
        <v>216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217</v>
      </c>
      <c r="B75" t="s">
        <v>218</v>
      </c>
      <c r="C75" t="s">
        <v>219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220</v>
      </c>
      <c r="B76" t="s">
        <v>221</v>
      </c>
      <c r="C76" t="s">
        <v>222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223</v>
      </c>
      <c r="B77" t="s">
        <v>224</v>
      </c>
      <c r="C77" t="s">
        <v>225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226</v>
      </c>
      <c r="B78" t="s">
        <v>227</v>
      </c>
      <c r="C78" t="s">
        <v>228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229</v>
      </c>
      <c r="B79" t="s">
        <v>230</v>
      </c>
      <c r="C79" t="s">
        <v>231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232</v>
      </c>
      <c r="B80" t="s">
        <v>233</v>
      </c>
      <c r="C80" t="s">
        <v>234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235</v>
      </c>
      <c r="B81" t="s">
        <v>236</v>
      </c>
      <c r="C81" t="s">
        <v>237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238</v>
      </c>
      <c r="B82" t="s">
        <v>239</v>
      </c>
      <c r="C82" t="s">
        <v>240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241</v>
      </c>
      <c r="B83" t="s">
        <v>242</v>
      </c>
      <c r="C83" t="s">
        <v>243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244</v>
      </c>
      <c r="B84" t="s">
        <v>245</v>
      </c>
      <c r="C84" t="s">
        <v>246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247</v>
      </c>
      <c r="B85" t="s">
        <v>248</v>
      </c>
      <c r="C85" t="s">
        <v>249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250</v>
      </c>
      <c r="B86" t="s">
        <v>251</v>
      </c>
      <c r="C86" t="s">
        <v>252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253</v>
      </c>
      <c r="B87" t="s">
        <v>254</v>
      </c>
      <c r="C87" t="s">
        <v>255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256</v>
      </c>
      <c r="B88" t="s">
        <v>257</v>
      </c>
      <c r="C88" t="s">
        <v>258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259</v>
      </c>
      <c r="B89" t="s">
        <v>260</v>
      </c>
      <c r="C89" t="s">
        <v>261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262</v>
      </c>
      <c r="B90" t="s">
        <v>263</v>
      </c>
      <c r="C90" t="s">
        <v>264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265</v>
      </c>
      <c r="B91" t="s">
        <v>266</v>
      </c>
      <c r="C91" t="s">
        <v>267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268</v>
      </c>
      <c r="B92" t="s">
        <v>269</v>
      </c>
      <c r="C92" t="s">
        <v>270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271</v>
      </c>
      <c r="B93" t="s">
        <v>272</v>
      </c>
      <c r="C93" t="s">
        <v>273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274</v>
      </c>
      <c r="B94" t="s">
        <v>275</v>
      </c>
      <c r="C94" t="s">
        <v>276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277</v>
      </c>
      <c r="B95" t="s">
        <v>278</v>
      </c>
      <c r="C95" t="s">
        <v>279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280</v>
      </c>
      <c r="B96" t="s">
        <v>281</v>
      </c>
      <c r="C96" t="s">
        <v>282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283</v>
      </c>
      <c r="B97" t="s">
        <v>284</v>
      </c>
      <c r="C97" t="s">
        <v>285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286</v>
      </c>
      <c r="B98" t="s">
        <v>287</v>
      </c>
      <c r="C98" t="s">
        <v>288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289</v>
      </c>
      <c r="B99" t="s">
        <v>290</v>
      </c>
      <c r="C99" t="s">
        <v>291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292</v>
      </c>
      <c r="B100" t="s">
        <v>293</v>
      </c>
      <c r="C100" t="s">
        <v>294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295</v>
      </c>
      <c r="B101" t="s">
        <v>296</v>
      </c>
      <c r="C101" t="s">
        <v>297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298</v>
      </c>
      <c r="B102" t="s">
        <v>299</v>
      </c>
      <c r="C102" t="s">
        <v>300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301</v>
      </c>
      <c r="B103" t="s">
        <v>302</v>
      </c>
      <c r="C103" t="s">
        <v>303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304</v>
      </c>
      <c r="C104" t="s">
        <v>305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306</v>
      </c>
      <c r="B105" t="s">
        <v>307</v>
      </c>
      <c r="C105" t="s">
        <v>308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309</v>
      </c>
      <c r="B106" t="s">
        <v>310</v>
      </c>
      <c r="C106" t="s">
        <v>311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312</v>
      </c>
      <c r="B107" t="s">
        <v>304</v>
      </c>
      <c r="C107" t="s">
        <v>313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314</v>
      </c>
      <c r="B108" t="s">
        <v>315</v>
      </c>
      <c r="C108" t="s">
        <v>316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317</v>
      </c>
      <c r="B109" t="s">
        <v>318</v>
      </c>
      <c r="C109" t="s">
        <v>319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320</v>
      </c>
      <c r="B110" t="s">
        <v>321</v>
      </c>
      <c r="C110" t="s">
        <v>322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323</v>
      </c>
      <c r="B111" t="s">
        <v>324</v>
      </c>
      <c r="C111" t="s">
        <v>325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326</v>
      </c>
      <c r="B112" t="s">
        <v>327</v>
      </c>
      <c r="C112" t="s">
        <v>328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329</v>
      </c>
      <c r="B113" t="s">
        <v>330</v>
      </c>
      <c r="C113" t="s">
        <v>331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332</v>
      </c>
      <c r="B114" t="s">
        <v>333</v>
      </c>
      <c r="C114" t="s">
        <v>334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335</v>
      </c>
      <c r="B115" t="s">
        <v>336</v>
      </c>
      <c r="C115" t="s">
        <v>337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338</v>
      </c>
      <c r="B116" t="s">
        <v>339</v>
      </c>
      <c r="C116" t="s">
        <v>340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341</v>
      </c>
      <c r="B117" t="s">
        <v>342</v>
      </c>
      <c r="C117" t="s">
        <v>343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344</v>
      </c>
      <c r="B118" t="s">
        <v>345</v>
      </c>
      <c r="C118" t="s">
        <v>346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347</v>
      </c>
      <c r="B119" t="s">
        <v>348</v>
      </c>
      <c r="C119" t="s">
        <v>349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350</v>
      </c>
      <c r="B120" t="s">
        <v>351</v>
      </c>
      <c r="C120" t="s">
        <v>352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353</v>
      </c>
      <c r="B121" t="s">
        <v>354</v>
      </c>
      <c r="C121" t="s">
        <v>355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356</v>
      </c>
      <c r="B122" t="s">
        <v>357</v>
      </c>
      <c r="C122" t="s">
        <v>358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359</v>
      </c>
      <c r="B123" t="s">
        <v>360</v>
      </c>
      <c r="C123" t="s">
        <v>361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362</v>
      </c>
      <c r="B124" t="s">
        <v>363</v>
      </c>
      <c r="C124" t="s">
        <v>364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365</v>
      </c>
      <c r="B125" t="s">
        <v>366</v>
      </c>
      <c r="C125" t="s">
        <v>367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368</v>
      </c>
      <c r="B126" t="s">
        <v>369</v>
      </c>
      <c r="C126" t="s">
        <v>370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371</v>
      </c>
      <c r="B127" t="s">
        <v>372</v>
      </c>
      <c r="C127" t="s">
        <v>373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374</v>
      </c>
      <c r="B128" t="s">
        <v>372</v>
      </c>
      <c r="C128" t="s">
        <v>375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376</v>
      </c>
      <c r="B129" t="s">
        <v>377</v>
      </c>
      <c r="C129" t="s">
        <v>378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379</v>
      </c>
      <c r="B130" t="s">
        <v>380</v>
      </c>
      <c r="C130" t="s">
        <v>381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382</v>
      </c>
      <c r="B131" t="s">
        <v>383</v>
      </c>
      <c r="C131" t="s">
        <v>384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385</v>
      </c>
      <c r="B132" t="s">
        <v>386</v>
      </c>
      <c r="C132" t="s">
        <v>387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388</v>
      </c>
      <c r="B133" t="s">
        <v>389</v>
      </c>
      <c r="C133" t="s">
        <v>390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391</v>
      </c>
      <c r="B134" t="s">
        <v>392</v>
      </c>
      <c r="C134" t="s">
        <v>393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394</v>
      </c>
      <c r="B135" t="s">
        <v>395</v>
      </c>
      <c r="C135" t="s">
        <v>396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397</v>
      </c>
      <c r="B136" t="s">
        <v>398</v>
      </c>
      <c r="C136" t="s">
        <v>399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400</v>
      </c>
      <c r="B137" t="s">
        <v>401</v>
      </c>
      <c r="C137" t="s">
        <v>402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403</v>
      </c>
      <c r="B138" t="s">
        <v>404</v>
      </c>
      <c r="C138" t="s">
        <v>405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406</v>
      </c>
      <c r="B139" t="s">
        <v>407</v>
      </c>
      <c r="C139" t="s">
        <v>408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409</v>
      </c>
      <c r="B140" t="s">
        <v>410</v>
      </c>
      <c r="C140" t="s">
        <v>411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412</v>
      </c>
      <c r="B141" t="s">
        <v>413</v>
      </c>
      <c r="C141" t="s">
        <v>414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415</v>
      </c>
      <c r="B142" t="s">
        <v>416</v>
      </c>
      <c r="C142" t="s">
        <v>417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418</v>
      </c>
      <c r="B143" t="s">
        <v>419</v>
      </c>
      <c r="C143" t="s">
        <v>420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421</v>
      </c>
      <c r="B144" t="s">
        <v>422</v>
      </c>
      <c r="C144" t="s">
        <v>423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424</v>
      </c>
      <c r="B145" t="s">
        <v>425</v>
      </c>
      <c r="C145" t="s">
        <v>426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427</v>
      </c>
      <c r="B146" t="s">
        <v>428</v>
      </c>
      <c r="C146" t="s">
        <v>429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430</v>
      </c>
      <c r="B147" t="s">
        <v>431</v>
      </c>
      <c r="C147" t="s">
        <v>432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433</v>
      </c>
      <c r="B148" t="s">
        <v>434</v>
      </c>
      <c r="C148" t="s">
        <v>435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436</v>
      </c>
      <c r="B149" t="s">
        <v>437</v>
      </c>
      <c r="C149" t="s">
        <v>438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439</v>
      </c>
      <c r="B150" t="s">
        <v>440</v>
      </c>
      <c r="C150" t="s">
        <v>441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442</v>
      </c>
      <c r="B151" t="s">
        <v>443</v>
      </c>
      <c r="C151" t="s">
        <v>444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445</v>
      </c>
      <c r="B152" t="s">
        <v>446</v>
      </c>
      <c r="C152" t="s">
        <v>447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448</v>
      </c>
      <c r="B153" t="s">
        <v>449</v>
      </c>
      <c r="C153" t="s">
        <v>450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451</v>
      </c>
      <c r="B154" t="s">
        <v>452</v>
      </c>
      <c r="C154" t="s">
        <v>453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454</v>
      </c>
      <c r="B155" t="s">
        <v>455</v>
      </c>
      <c r="C155" t="s">
        <v>456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457</v>
      </c>
      <c r="B156" t="s">
        <v>458</v>
      </c>
      <c r="C156" t="s">
        <v>459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460</v>
      </c>
      <c r="B157" t="s">
        <v>461</v>
      </c>
      <c r="C157" t="s">
        <v>462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463</v>
      </c>
      <c r="B158" t="s">
        <v>464</v>
      </c>
      <c r="C158" t="s">
        <v>465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466</v>
      </c>
      <c r="B159" t="s">
        <v>467</v>
      </c>
      <c r="C159" t="s">
        <v>468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469</v>
      </c>
      <c r="B160" t="s">
        <v>470</v>
      </c>
      <c r="C160" t="s">
        <v>471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472</v>
      </c>
      <c r="B161" t="s">
        <v>473</v>
      </c>
      <c r="C161" t="s">
        <v>474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475</v>
      </c>
      <c r="B162" t="s">
        <v>476</v>
      </c>
      <c r="C162" t="s">
        <v>477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478</v>
      </c>
      <c r="B163" t="s">
        <v>479</v>
      </c>
      <c r="C163" t="s">
        <v>480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481</v>
      </c>
      <c r="B164" t="s">
        <v>482</v>
      </c>
      <c r="C164" t="s">
        <v>483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484</v>
      </c>
      <c r="B165" t="s">
        <v>485</v>
      </c>
      <c r="C165" t="s">
        <v>486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487</v>
      </c>
      <c r="B166" t="s">
        <v>488</v>
      </c>
      <c r="C166" t="s">
        <v>489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490</v>
      </c>
      <c r="B167" t="s">
        <v>491</v>
      </c>
      <c r="C167" t="s">
        <v>492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493</v>
      </c>
      <c r="B168" t="s">
        <v>494</v>
      </c>
      <c r="C168" t="s">
        <v>495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496</v>
      </c>
      <c r="B169" t="s">
        <v>497</v>
      </c>
      <c r="C169" t="s">
        <v>498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499</v>
      </c>
      <c r="B170" t="s">
        <v>500</v>
      </c>
      <c r="C170" t="s">
        <v>501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502</v>
      </c>
      <c r="B171" t="s">
        <v>503</v>
      </c>
      <c r="C171" t="s">
        <v>504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505</v>
      </c>
      <c r="B172" t="s">
        <v>506</v>
      </c>
      <c r="C172" t="s">
        <v>507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508</v>
      </c>
      <c r="B173" t="s">
        <v>509</v>
      </c>
      <c r="C173" t="s">
        <v>510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511</v>
      </c>
      <c r="B174" t="s">
        <v>512</v>
      </c>
      <c r="C174" t="s">
        <v>513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514</v>
      </c>
      <c r="B175" t="s">
        <v>515</v>
      </c>
      <c r="C175" t="s">
        <v>516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517</v>
      </c>
      <c r="B176" t="s">
        <v>518</v>
      </c>
      <c r="C176" t="s">
        <v>519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520</v>
      </c>
      <c r="B177" t="s">
        <v>521</v>
      </c>
      <c r="C177" t="s">
        <v>522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523</v>
      </c>
      <c r="B178" t="s">
        <v>524</v>
      </c>
      <c r="C178" t="s">
        <v>525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526</v>
      </c>
      <c r="B179" t="s">
        <v>527</v>
      </c>
      <c r="C179" t="s">
        <v>528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529</v>
      </c>
      <c r="B180" t="s">
        <v>530</v>
      </c>
      <c r="C180" t="s">
        <v>531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532</v>
      </c>
      <c r="B181" t="s">
        <v>533</v>
      </c>
      <c r="C181" t="s">
        <v>534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535</v>
      </c>
      <c r="B182" t="s">
        <v>536</v>
      </c>
      <c r="C182" t="s">
        <v>537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538</v>
      </c>
      <c r="B183" t="s">
        <v>539</v>
      </c>
      <c r="C183" t="s">
        <v>540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541</v>
      </c>
      <c r="B184" t="s">
        <v>542</v>
      </c>
      <c r="C184" t="s">
        <v>543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544</v>
      </c>
      <c r="B185" t="s">
        <v>545</v>
      </c>
      <c r="C185" t="s">
        <v>546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547</v>
      </c>
      <c r="B186" t="s">
        <v>548</v>
      </c>
      <c r="C186" t="s">
        <v>549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550</v>
      </c>
      <c r="B187" t="s">
        <v>551</v>
      </c>
      <c r="C187" t="s">
        <v>552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553</v>
      </c>
      <c r="B188" t="s">
        <v>554</v>
      </c>
      <c r="C188" t="s">
        <v>555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556</v>
      </c>
      <c r="B189" t="s">
        <v>557</v>
      </c>
      <c r="C189" t="s">
        <v>558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559</v>
      </c>
      <c r="B190" t="s">
        <v>560</v>
      </c>
      <c r="C190" t="s">
        <v>561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562</v>
      </c>
      <c r="B191" t="s">
        <v>563</v>
      </c>
      <c r="C191" t="s">
        <v>564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565</v>
      </c>
      <c r="B192" t="s">
        <v>566</v>
      </c>
      <c r="C192" t="s">
        <v>567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568</v>
      </c>
      <c r="B193" t="s">
        <v>569</v>
      </c>
      <c r="C193" t="s">
        <v>570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571</v>
      </c>
      <c r="B194" t="s">
        <v>572</v>
      </c>
      <c r="C194" t="s">
        <v>573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574</v>
      </c>
      <c r="B195" t="s">
        <v>575</v>
      </c>
      <c r="C195" t="s">
        <v>576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577</v>
      </c>
      <c r="B196" t="s">
        <v>578</v>
      </c>
      <c r="C196" t="s">
        <v>579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580</v>
      </c>
      <c r="B197" t="s">
        <v>581</v>
      </c>
      <c r="C197" t="s">
        <v>582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583</v>
      </c>
      <c r="B198" t="s">
        <v>584</v>
      </c>
      <c r="C198" t="s">
        <v>585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586</v>
      </c>
      <c r="B199" t="s">
        <v>587</v>
      </c>
      <c r="C199" t="s">
        <v>588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589</v>
      </c>
      <c r="B200" t="s">
        <v>587</v>
      </c>
      <c r="C200" t="s">
        <v>590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591</v>
      </c>
      <c r="B201" t="s">
        <v>592</v>
      </c>
      <c r="C201" t="s">
        <v>593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594</v>
      </c>
      <c r="B202" t="s">
        <v>595</v>
      </c>
      <c r="C202" t="s">
        <v>596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597</v>
      </c>
      <c r="B203" t="s">
        <v>598</v>
      </c>
      <c r="C203" t="s">
        <v>599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600</v>
      </c>
      <c r="B204" t="s">
        <v>601</v>
      </c>
      <c r="C204" t="s">
        <v>602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603</v>
      </c>
      <c r="B205" t="s">
        <v>604</v>
      </c>
      <c r="C205" t="s">
        <v>605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606</v>
      </c>
      <c r="B206" t="s">
        <v>607</v>
      </c>
      <c r="C206" t="s">
        <v>608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609</v>
      </c>
      <c r="B207" t="s">
        <v>610</v>
      </c>
      <c r="C207" t="s">
        <v>611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612</v>
      </c>
      <c r="B208" t="s">
        <v>613</v>
      </c>
      <c r="C208" t="s">
        <v>614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615</v>
      </c>
      <c r="B209" t="s">
        <v>616</v>
      </c>
      <c r="C209" t="s">
        <v>617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618</v>
      </c>
      <c r="B210" t="s">
        <v>619</v>
      </c>
      <c r="C210" t="s">
        <v>620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621</v>
      </c>
      <c r="B211" t="s">
        <v>622</v>
      </c>
      <c r="C211" t="s">
        <v>623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624</v>
      </c>
      <c r="B212" t="s">
        <v>625</v>
      </c>
      <c r="C212" t="s">
        <v>626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627</v>
      </c>
      <c r="B213" t="s">
        <v>628</v>
      </c>
      <c r="C213" t="s">
        <v>629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630</v>
      </c>
      <c r="B214" t="s">
        <v>631</v>
      </c>
      <c r="C214" t="s">
        <v>632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633</v>
      </c>
      <c r="B215" t="s">
        <v>634</v>
      </c>
      <c r="C215" t="s">
        <v>635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636</v>
      </c>
      <c r="B216" t="s">
        <v>637</v>
      </c>
      <c r="C216" t="s">
        <v>638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639</v>
      </c>
      <c r="B217" t="s">
        <v>640</v>
      </c>
      <c r="C217" t="s">
        <v>641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642</v>
      </c>
      <c r="B218" t="s">
        <v>643</v>
      </c>
      <c r="C218" t="s">
        <v>644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645</v>
      </c>
      <c r="B219" t="s">
        <v>646</v>
      </c>
      <c r="C219" t="s">
        <v>647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648</v>
      </c>
      <c r="B220" t="s">
        <v>649</v>
      </c>
      <c r="C220" t="s">
        <v>650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651</v>
      </c>
      <c r="B221" t="s">
        <v>652</v>
      </c>
      <c r="C221" t="s">
        <v>650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653</v>
      </c>
      <c r="B222" t="s">
        <v>654</v>
      </c>
      <c r="C222" t="s">
        <v>655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656</v>
      </c>
      <c r="B223" t="s">
        <v>657</v>
      </c>
      <c r="C223" t="s">
        <v>658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659</v>
      </c>
      <c r="B224" t="s">
        <v>660</v>
      </c>
      <c r="C224" t="s">
        <v>661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662</v>
      </c>
      <c r="B225" t="s">
        <v>663</v>
      </c>
      <c r="C225" t="s">
        <v>664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665</v>
      </c>
      <c r="B226" t="s">
        <v>666</v>
      </c>
      <c r="C226" t="s">
        <v>667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668</v>
      </c>
      <c r="B227" t="s">
        <v>669</v>
      </c>
      <c r="C227" t="s">
        <v>670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671</v>
      </c>
      <c r="B228" t="s">
        <v>672</v>
      </c>
      <c r="C228" t="s">
        <v>673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674</v>
      </c>
      <c r="B229" t="s">
        <v>675</v>
      </c>
      <c r="C229" t="s">
        <v>676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677</v>
      </c>
      <c r="B230" t="s">
        <v>678</v>
      </c>
      <c r="C230" t="s">
        <v>679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680</v>
      </c>
      <c r="B231" t="s">
        <v>681</v>
      </c>
      <c r="C231" t="s">
        <v>682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683</v>
      </c>
      <c r="B232" t="s">
        <v>684</v>
      </c>
      <c r="C232" t="s">
        <v>685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686</v>
      </c>
      <c r="B233" t="s">
        <v>687</v>
      </c>
      <c r="C233" t="s">
        <v>688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689</v>
      </c>
      <c r="B234" t="s">
        <v>690</v>
      </c>
      <c r="C234" t="s">
        <v>691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692</v>
      </c>
      <c r="B235" t="s">
        <v>693</v>
      </c>
      <c r="C235" t="s">
        <v>694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695</v>
      </c>
      <c r="B236" t="s">
        <v>696</v>
      </c>
      <c r="C236" t="s">
        <v>697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698</v>
      </c>
      <c r="B237" t="s">
        <v>699</v>
      </c>
      <c r="C237" t="s">
        <v>700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701</v>
      </c>
      <c r="B238" t="s">
        <v>702</v>
      </c>
      <c r="C238" t="s">
        <v>703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704</v>
      </c>
      <c r="B239" t="s">
        <v>705</v>
      </c>
      <c r="C239" t="s">
        <v>706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707</v>
      </c>
      <c r="B240" t="s">
        <v>708</v>
      </c>
      <c r="C240" t="s">
        <v>709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710</v>
      </c>
      <c r="B241" t="s">
        <v>711</v>
      </c>
      <c r="C241" t="s">
        <v>712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713</v>
      </c>
      <c r="B242" t="s">
        <v>714</v>
      </c>
      <c r="C242" t="s">
        <v>715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716</v>
      </c>
      <c r="B243" t="s">
        <v>714</v>
      </c>
      <c r="C243" t="s">
        <v>717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718</v>
      </c>
      <c r="B244" t="s">
        <v>719</v>
      </c>
      <c r="C244" t="s">
        <v>720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721</v>
      </c>
      <c r="B245" t="s">
        <v>719</v>
      </c>
      <c r="C245" t="s">
        <v>722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723</v>
      </c>
      <c r="B246" t="s">
        <v>724</v>
      </c>
      <c r="C246" t="s">
        <v>725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726</v>
      </c>
      <c r="B247" t="s">
        <v>727</v>
      </c>
      <c r="C247" t="s">
        <v>728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729</v>
      </c>
      <c r="B248" t="s">
        <v>730</v>
      </c>
      <c r="C248" t="s">
        <v>731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732</v>
      </c>
      <c r="B249" t="s">
        <v>733</v>
      </c>
      <c r="C249" t="s">
        <v>734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735</v>
      </c>
      <c r="B250" t="s">
        <v>736</v>
      </c>
      <c r="C250" t="s">
        <v>737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738</v>
      </c>
      <c r="B251" t="s">
        <v>739</v>
      </c>
      <c r="C251" t="s">
        <v>740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741</v>
      </c>
      <c r="B252" t="s">
        <v>742</v>
      </c>
      <c r="C252" t="s">
        <v>743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744</v>
      </c>
      <c r="B253" t="s">
        <v>745</v>
      </c>
      <c r="C253" t="s">
        <v>746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747</v>
      </c>
      <c r="B254" t="s">
        <v>748</v>
      </c>
      <c r="C254" t="s">
        <v>749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750</v>
      </c>
      <c r="B255" t="s">
        <v>751</v>
      </c>
      <c r="C255" t="s">
        <v>752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753</v>
      </c>
      <c r="B256" t="s">
        <v>754</v>
      </c>
      <c r="C256" t="s">
        <v>755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756</v>
      </c>
      <c r="B257" t="s">
        <v>757</v>
      </c>
      <c r="C257" t="s">
        <v>758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759</v>
      </c>
      <c r="B258" t="s">
        <v>760</v>
      </c>
      <c r="C258" t="s">
        <v>761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762</v>
      </c>
      <c r="B259" t="s">
        <v>763</v>
      </c>
      <c r="C259" t="s">
        <v>764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765</v>
      </c>
      <c r="B260" t="s">
        <v>766</v>
      </c>
      <c r="C260" t="s">
        <v>767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768</v>
      </c>
      <c r="B261" t="s">
        <v>769</v>
      </c>
      <c r="C261" t="s">
        <v>770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771</v>
      </c>
      <c r="B262" t="s">
        <v>772</v>
      </c>
      <c r="C262" t="s">
        <v>773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774</v>
      </c>
      <c r="B263" t="s">
        <v>775</v>
      </c>
      <c r="C263" t="s">
        <v>776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777</v>
      </c>
      <c r="B264" t="s">
        <v>778</v>
      </c>
      <c r="C264" t="s">
        <v>779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780</v>
      </c>
      <c r="B265" t="s">
        <v>781</v>
      </c>
      <c r="C265" t="s">
        <v>782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783</v>
      </c>
      <c r="B266" t="s">
        <v>784</v>
      </c>
      <c r="C266" t="s">
        <v>785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786</v>
      </c>
      <c r="B267" t="s">
        <v>787</v>
      </c>
      <c r="C267" t="s">
        <v>788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789</v>
      </c>
      <c r="B268" t="s">
        <v>790</v>
      </c>
      <c r="C268" t="s">
        <v>791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792</v>
      </c>
      <c r="B269" t="s">
        <v>793</v>
      </c>
      <c r="C269" t="s">
        <v>794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795</v>
      </c>
      <c r="B270" t="s">
        <v>793</v>
      </c>
      <c r="C270" t="s">
        <v>796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797</v>
      </c>
      <c r="B271" t="s">
        <v>798</v>
      </c>
      <c r="C271" t="s">
        <v>799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800</v>
      </c>
      <c r="B272" t="s">
        <v>801</v>
      </c>
      <c r="C272" t="s">
        <v>802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803</v>
      </c>
      <c r="B273" t="s">
        <v>804</v>
      </c>
      <c r="C273" t="s">
        <v>805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806</v>
      </c>
      <c r="B274" t="s">
        <v>807</v>
      </c>
      <c r="C274" t="s">
        <v>808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809</v>
      </c>
      <c r="B275" t="s">
        <v>810</v>
      </c>
      <c r="C275" t="s">
        <v>811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812</v>
      </c>
      <c r="B276" t="s">
        <v>813</v>
      </c>
      <c r="C276" t="s">
        <v>814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815</v>
      </c>
      <c r="B277" t="s">
        <v>816</v>
      </c>
      <c r="C277" t="s">
        <v>817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818</v>
      </c>
      <c r="B278" t="s">
        <v>819</v>
      </c>
      <c r="C278" t="s">
        <v>820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821</v>
      </c>
      <c r="B279" t="s">
        <v>822</v>
      </c>
      <c r="C279" t="s">
        <v>823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824</v>
      </c>
      <c r="B280" t="s">
        <v>825</v>
      </c>
      <c r="C280" t="s">
        <v>826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827</v>
      </c>
      <c r="B281" t="s">
        <v>828</v>
      </c>
      <c r="C281" t="s">
        <v>829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830</v>
      </c>
      <c r="B282" t="s">
        <v>831</v>
      </c>
      <c r="C282" t="s">
        <v>832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833</v>
      </c>
      <c r="B283" t="s">
        <v>834</v>
      </c>
      <c r="C283" t="s">
        <v>835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836</v>
      </c>
      <c r="B284" t="s">
        <v>837</v>
      </c>
      <c r="C284" t="s">
        <v>838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839</v>
      </c>
      <c r="B285" t="s">
        <v>840</v>
      </c>
      <c r="C285" t="s">
        <v>841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842</v>
      </c>
      <c r="B286" t="s">
        <v>843</v>
      </c>
      <c r="C286" t="s">
        <v>844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845</v>
      </c>
      <c r="B287" t="s">
        <v>846</v>
      </c>
      <c r="C287" t="s">
        <v>847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848</v>
      </c>
      <c r="B288" t="s">
        <v>849</v>
      </c>
      <c r="C288" t="s">
        <v>850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851</v>
      </c>
      <c r="B289" t="s">
        <v>852</v>
      </c>
      <c r="C289" t="s">
        <v>853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854</v>
      </c>
      <c r="B290" t="s">
        <v>855</v>
      </c>
      <c r="C290" t="s">
        <v>856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857</v>
      </c>
      <c r="B291" t="s">
        <v>858</v>
      </c>
      <c r="C291" t="s">
        <v>859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860</v>
      </c>
      <c r="B292" t="s">
        <v>861</v>
      </c>
      <c r="C292" t="s">
        <v>862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863</v>
      </c>
      <c r="B293" t="s">
        <v>864</v>
      </c>
      <c r="C293" t="s">
        <v>865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866</v>
      </c>
      <c r="B294" t="s">
        <v>867</v>
      </c>
      <c r="C294" t="s">
        <v>868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869</v>
      </c>
      <c r="B295" t="s">
        <v>870</v>
      </c>
      <c r="C295" t="s">
        <v>871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872</v>
      </c>
      <c r="B296" t="s">
        <v>873</v>
      </c>
      <c r="C296" t="s">
        <v>874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875</v>
      </c>
      <c r="B297" t="s">
        <v>876</v>
      </c>
      <c r="C297" t="s">
        <v>877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878</v>
      </c>
      <c r="B298" t="s">
        <v>879</v>
      </c>
      <c r="C298" t="s">
        <v>880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878</v>
      </c>
      <c r="B299" t="s">
        <v>879</v>
      </c>
      <c r="C299" t="s">
        <v>881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882</v>
      </c>
      <c r="B300" t="s">
        <v>883</v>
      </c>
      <c r="C300" t="s">
        <v>884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885</v>
      </c>
      <c r="B301" t="s">
        <v>886</v>
      </c>
      <c r="C301" t="s">
        <v>887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888</v>
      </c>
      <c r="B302" t="s">
        <v>889</v>
      </c>
      <c r="C302" t="s">
        <v>890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891</v>
      </c>
      <c r="B303" t="s">
        <v>892</v>
      </c>
      <c r="C303" t="s">
        <v>893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894</v>
      </c>
      <c r="B304" t="s">
        <v>895</v>
      </c>
      <c r="C304" t="s">
        <v>896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897</v>
      </c>
      <c r="B305" t="s">
        <v>898</v>
      </c>
      <c r="C305" t="s">
        <v>899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900</v>
      </c>
      <c r="B306" t="s">
        <v>901</v>
      </c>
      <c r="C306" t="s">
        <v>902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903</v>
      </c>
      <c r="B307" t="s">
        <v>904</v>
      </c>
      <c r="C307" t="s">
        <v>905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906</v>
      </c>
      <c r="B308" t="s">
        <v>907</v>
      </c>
      <c r="C308" t="s">
        <v>908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909</v>
      </c>
      <c r="B309" t="s">
        <v>910</v>
      </c>
      <c r="C309" t="s">
        <v>911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912</v>
      </c>
      <c r="B310" t="s">
        <v>913</v>
      </c>
      <c r="C310" t="s">
        <v>914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915</v>
      </c>
      <c r="B311" t="s">
        <v>916</v>
      </c>
      <c r="C311" t="s">
        <v>917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918</v>
      </c>
      <c r="B312" t="s">
        <v>919</v>
      </c>
      <c r="C312" t="s">
        <v>920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921</v>
      </c>
      <c r="B313" t="s">
        <v>922</v>
      </c>
      <c r="C313" t="s">
        <v>923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924</v>
      </c>
      <c r="B314" t="s">
        <v>925</v>
      </c>
      <c r="C314" t="s">
        <v>926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927</v>
      </c>
      <c r="B315" t="s">
        <v>928</v>
      </c>
      <c r="C315" t="s">
        <v>929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930</v>
      </c>
      <c r="B316" t="s">
        <v>931</v>
      </c>
      <c r="C316" t="s">
        <v>932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933</v>
      </c>
      <c r="B317" t="s">
        <v>934</v>
      </c>
      <c r="C317" t="s">
        <v>935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936</v>
      </c>
      <c r="B318" t="s">
        <v>937</v>
      </c>
      <c r="C318" t="s">
        <v>938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939</v>
      </c>
      <c r="B319" t="s">
        <v>940</v>
      </c>
      <c r="C319" t="s">
        <v>941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942</v>
      </c>
      <c r="B320" t="s">
        <v>943</v>
      </c>
      <c r="C320" t="s">
        <v>944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945</v>
      </c>
      <c r="B321" t="s">
        <v>946</v>
      </c>
      <c r="C321" t="s">
        <v>947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948</v>
      </c>
      <c r="B322" t="s">
        <v>949</v>
      </c>
      <c r="C322" t="s">
        <v>950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951</v>
      </c>
      <c r="B323" t="s">
        <v>952</v>
      </c>
      <c r="C323" t="s">
        <v>953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954</v>
      </c>
      <c r="B324" t="s">
        <v>955</v>
      </c>
      <c r="C324" t="s">
        <v>956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957</v>
      </c>
      <c r="B325" t="s">
        <v>958</v>
      </c>
      <c r="C325" t="s">
        <v>959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960</v>
      </c>
      <c r="B326" t="s">
        <v>961</v>
      </c>
      <c r="C326" t="s">
        <v>962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963</v>
      </c>
      <c r="B327" t="s">
        <v>964</v>
      </c>
      <c r="C327" t="s">
        <v>965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966</v>
      </c>
      <c r="B328" t="s">
        <v>967</v>
      </c>
      <c r="C328" t="s">
        <v>968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969</v>
      </c>
      <c r="B329" t="s">
        <v>970</v>
      </c>
      <c r="C329" t="s">
        <v>971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972</v>
      </c>
      <c r="B330" t="s">
        <v>973</v>
      </c>
      <c r="C330" t="s">
        <v>974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975</v>
      </c>
      <c r="B331" t="s">
        <v>976</v>
      </c>
      <c r="C331" t="s">
        <v>977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978</v>
      </c>
      <c r="B332" t="s">
        <v>979</v>
      </c>
      <c r="C332" t="s">
        <v>980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981</v>
      </c>
      <c r="B333" t="s">
        <v>982</v>
      </c>
      <c r="C333" t="s">
        <v>983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984</v>
      </c>
      <c r="B334" t="s">
        <v>985</v>
      </c>
      <c r="C334" t="s">
        <v>986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987</v>
      </c>
      <c r="B335" t="s">
        <v>988</v>
      </c>
      <c r="C335" t="s">
        <v>989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990</v>
      </c>
      <c r="B336" t="s">
        <v>991</v>
      </c>
      <c r="C336" t="s">
        <v>992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993</v>
      </c>
      <c r="B337" t="s">
        <v>991</v>
      </c>
      <c r="C337" t="s">
        <v>994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995</v>
      </c>
      <c r="B338" t="s">
        <v>996</v>
      </c>
      <c r="C338" t="s">
        <v>997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998</v>
      </c>
      <c r="B339" t="s">
        <v>999</v>
      </c>
      <c r="C339" t="s">
        <v>1000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1001</v>
      </c>
      <c r="B340" t="s">
        <v>1002</v>
      </c>
      <c r="C340" t="s">
        <v>1003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1004</v>
      </c>
      <c r="B341" t="s">
        <v>1005</v>
      </c>
      <c r="C341" t="s">
        <v>1006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1007</v>
      </c>
      <c r="B342" t="s">
        <v>1008</v>
      </c>
      <c r="C342" t="s">
        <v>1009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1010</v>
      </c>
      <c r="B343" t="s">
        <v>1011</v>
      </c>
      <c r="C343" t="s">
        <v>1012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1013</v>
      </c>
      <c r="B344" t="s">
        <v>1014</v>
      </c>
      <c r="C344" t="s">
        <v>1015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1016</v>
      </c>
      <c r="B345" t="s">
        <v>1017</v>
      </c>
      <c r="C345" t="s">
        <v>1018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1019</v>
      </c>
      <c r="B346" t="s">
        <v>1020</v>
      </c>
      <c r="C346" t="s">
        <v>1021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1022</v>
      </c>
      <c r="B347" t="s">
        <v>1023</v>
      </c>
      <c r="C347" t="s">
        <v>1024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1025</v>
      </c>
      <c r="B348" t="s">
        <v>1026</v>
      </c>
      <c r="C348" t="s">
        <v>1027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1028</v>
      </c>
      <c r="B349" t="s">
        <v>1029</v>
      </c>
      <c r="C349" t="s">
        <v>1030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1031</v>
      </c>
      <c r="B350" t="s">
        <v>1032</v>
      </c>
      <c r="C350" t="s">
        <v>1033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1034</v>
      </c>
      <c r="B351" t="s">
        <v>1035</v>
      </c>
      <c r="C351" t="s">
        <v>1036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1037</v>
      </c>
      <c r="B352" t="s">
        <v>1038</v>
      </c>
      <c r="C352" t="s">
        <v>1039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1040</v>
      </c>
      <c r="B353" t="s">
        <v>1041</v>
      </c>
      <c r="C353" t="s">
        <v>1042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1043</v>
      </c>
      <c r="B354" t="s">
        <v>1041</v>
      </c>
      <c r="C354" t="s">
        <v>1044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1045</v>
      </c>
      <c r="B355" t="s">
        <v>1041</v>
      </c>
      <c r="C355" t="s">
        <v>1046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1047</v>
      </c>
      <c r="B356" t="s">
        <v>1048</v>
      </c>
      <c r="C356" t="s">
        <v>1049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1050</v>
      </c>
      <c r="B357" t="s">
        <v>1051</v>
      </c>
      <c r="C357" t="s">
        <v>1052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1053</v>
      </c>
      <c r="B358" t="s">
        <v>1054</v>
      </c>
      <c r="C358" t="s">
        <v>1055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1056</v>
      </c>
      <c r="B359" t="s">
        <v>1057</v>
      </c>
      <c r="C359" t="s">
        <v>1058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1059</v>
      </c>
      <c r="B360" t="s">
        <v>1060</v>
      </c>
      <c r="C360" t="s">
        <v>1061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1062</v>
      </c>
      <c r="B361" t="s">
        <v>1063</v>
      </c>
      <c r="C361" t="s">
        <v>1064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1065</v>
      </c>
      <c r="B362" t="s">
        <v>1066</v>
      </c>
      <c r="C362" t="s">
        <v>1067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1068</v>
      </c>
      <c r="B363" t="s">
        <v>1069</v>
      </c>
      <c r="C363" t="s">
        <v>1070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1071</v>
      </c>
      <c r="B364" t="s">
        <v>1072</v>
      </c>
      <c r="C364" t="s">
        <v>1073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1074</v>
      </c>
      <c r="B365" t="s">
        <v>1075</v>
      </c>
      <c r="C365" t="s">
        <v>1076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1077</v>
      </c>
      <c r="B366" t="s">
        <v>1078</v>
      </c>
      <c r="C366" t="s">
        <v>1079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1080</v>
      </c>
      <c r="B367" t="s">
        <v>1081</v>
      </c>
      <c r="C367" t="s">
        <v>1082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1083</v>
      </c>
      <c r="B368" t="s">
        <v>1084</v>
      </c>
      <c r="C368" t="s">
        <v>1085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1086</v>
      </c>
      <c r="B369" t="s">
        <v>1087</v>
      </c>
      <c r="C369" t="s">
        <v>1088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1089</v>
      </c>
      <c r="B370" t="s">
        <v>1090</v>
      </c>
      <c r="C370" t="s">
        <v>1091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1092</v>
      </c>
      <c r="B371" t="s">
        <v>1093</v>
      </c>
      <c r="C371" t="s">
        <v>1094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1095</v>
      </c>
      <c r="B372" t="s">
        <v>1096</v>
      </c>
      <c r="C372" t="s">
        <v>1097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1098</v>
      </c>
      <c r="B373" t="s">
        <v>1099</v>
      </c>
      <c r="C373" t="s">
        <v>1100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1101</v>
      </c>
      <c r="B374" t="s">
        <v>1099</v>
      </c>
      <c r="C374" t="s">
        <v>1102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1103</v>
      </c>
      <c r="B375" t="s">
        <v>1104</v>
      </c>
      <c r="C375" t="s">
        <v>1105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1106</v>
      </c>
      <c r="B376" t="s">
        <v>1107</v>
      </c>
      <c r="C376" t="s">
        <v>1108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1109</v>
      </c>
      <c r="B377" t="s">
        <v>1110</v>
      </c>
      <c r="C377" t="s">
        <v>1111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1112</v>
      </c>
      <c r="B378" t="s">
        <v>1113</v>
      </c>
      <c r="C378" t="s">
        <v>1114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1115</v>
      </c>
      <c r="B379" t="s">
        <v>1116</v>
      </c>
      <c r="C379" t="s">
        <v>1117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1118</v>
      </c>
      <c r="B380" t="s">
        <v>1119</v>
      </c>
      <c r="C380" t="s">
        <v>1120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1121</v>
      </c>
      <c r="B381" t="s">
        <v>1122</v>
      </c>
      <c r="C381" t="s">
        <v>1123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1124</v>
      </c>
      <c r="B382" t="s">
        <v>1125</v>
      </c>
      <c r="C382" t="s">
        <v>1126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1127</v>
      </c>
      <c r="B383" t="s">
        <v>1128</v>
      </c>
      <c r="C383" t="s">
        <v>1129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1130</v>
      </c>
      <c r="B384" t="s">
        <v>1131</v>
      </c>
      <c r="C384" t="s">
        <v>1132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1133</v>
      </c>
      <c r="B385" t="s">
        <v>1134</v>
      </c>
      <c r="C385" t="s">
        <v>1135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1136</v>
      </c>
      <c r="B386" t="s">
        <v>1137</v>
      </c>
      <c r="C386" t="s">
        <v>1138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1139</v>
      </c>
      <c r="B387" t="s">
        <v>1140</v>
      </c>
      <c r="C387" t="s">
        <v>1141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1142</v>
      </c>
      <c r="B388" t="s">
        <v>1143</v>
      </c>
      <c r="C388" t="s">
        <v>1144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1145</v>
      </c>
      <c r="B389" t="s">
        <v>1146</v>
      </c>
      <c r="C389" t="s">
        <v>1147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1148</v>
      </c>
      <c r="B390" t="s">
        <v>1149</v>
      </c>
      <c r="C390" t="s">
        <v>1150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1151</v>
      </c>
      <c r="B391" t="s">
        <v>1152</v>
      </c>
      <c r="C391" t="s">
        <v>1153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1154</v>
      </c>
      <c r="B392" t="s">
        <v>1155</v>
      </c>
      <c r="C392" t="s">
        <v>1156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1157</v>
      </c>
      <c r="B393" t="s">
        <v>1158</v>
      </c>
      <c r="C393" t="s">
        <v>1159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1160</v>
      </c>
      <c r="B394" t="s">
        <v>1161</v>
      </c>
      <c r="C394" t="s">
        <v>1162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1163</v>
      </c>
      <c r="B395" t="s">
        <v>1164</v>
      </c>
      <c r="C395" t="s">
        <v>1165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1166</v>
      </c>
      <c r="B396" t="s">
        <v>1167</v>
      </c>
      <c r="C396" t="s">
        <v>1168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1169</v>
      </c>
      <c r="B397" t="s">
        <v>1170</v>
      </c>
      <c r="C397" t="s">
        <v>1171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1172</v>
      </c>
      <c r="B398" t="s">
        <v>1173</v>
      </c>
      <c r="C398" t="s">
        <v>1174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1175</v>
      </c>
      <c r="B399" t="s">
        <v>1176</v>
      </c>
      <c r="C399" t="s">
        <v>1177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1178</v>
      </c>
      <c r="B400" t="s">
        <v>1179</v>
      </c>
      <c r="C400" t="s">
        <v>1180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1181</v>
      </c>
      <c r="B401" t="s">
        <v>1182</v>
      </c>
      <c r="C401" t="s">
        <v>1183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1184</v>
      </c>
      <c r="B402" t="s">
        <v>1185</v>
      </c>
      <c r="C402" t="s">
        <v>1186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1187</v>
      </c>
      <c r="B403" t="s">
        <v>1188</v>
      </c>
      <c r="C403" t="s">
        <v>1189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1190</v>
      </c>
      <c r="B404" t="s">
        <v>1188</v>
      </c>
      <c r="C404" t="s">
        <v>1191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1192</v>
      </c>
      <c r="B405" t="s">
        <v>1193</v>
      </c>
      <c r="C405" t="s">
        <v>1194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1195</v>
      </c>
      <c r="B406" t="s">
        <v>1196</v>
      </c>
      <c r="C406" t="s">
        <v>1197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1198</v>
      </c>
      <c r="B407" t="s">
        <v>1199</v>
      </c>
      <c r="C407" t="s">
        <v>1200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1201</v>
      </c>
      <c r="B408" t="s">
        <v>1202</v>
      </c>
      <c r="C408" t="s">
        <v>1203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1204</v>
      </c>
      <c r="B409" t="s">
        <v>1205</v>
      </c>
      <c r="C409" t="s">
        <v>1206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1207</v>
      </c>
      <c r="B410" t="s">
        <v>1208</v>
      </c>
      <c r="C410" t="s">
        <v>1209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1210</v>
      </c>
      <c r="B411" t="s">
        <v>1211</v>
      </c>
      <c r="C411" t="s">
        <v>1212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1213</v>
      </c>
      <c r="B412" t="s">
        <v>1214</v>
      </c>
      <c r="C412" t="s">
        <v>1215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1216</v>
      </c>
      <c r="B413" t="s">
        <v>1217</v>
      </c>
      <c r="C413" t="s">
        <v>1218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1219</v>
      </c>
      <c r="B414" t="s">
        <v>1220</v>
      </c>
      <c r="C414" t="s">
        <v>1221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1222</v>
      </c>
      <c r="B415" t="s">
        <v>1223</v>
      </c>
      <c r="C415" t="s">
        <v>1224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1225</v>
      </c>
      <c r="B416" t="s">
        <v>1226</v>
      </c>
      <c r="C416" t="s">
        <v>1227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1228</v>
      </c>
      <c r="B417" t="s">
        <v>1229</v>
      </c>
      <c r="C417" t="s">
        <v>1230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1231</v>
      </c>
      <c r="B418" t="s">
        <v>1232</v>
      </c>
      <c r="C418" t="s">
        <v>1233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1234</v>
      </c>
      <c r="B419" t="s">
        <v>1235</v>
      </c>
      <c r="C419" t="s">
        <v>1236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1237</v>
      </c>
      <c r="B420" t="s">
        <v>1238</v>
      </c>
      <c r="C420" t="s">
        <v>1239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1240</v>
      </c>
      <c r="B421" t="s">
        <v>1241</v>
      </c>
      <c r="C421" t="s">
        <v>1242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1243</v>
      </c>
      <c r="B422" t="s">
        <v>1244</v>
      </c>
      <c r="C422" t="s">
        <v>1245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1246</v>
      </c>
      <c r="B423" t="s">
        <v>1247</v>
      </c>
      <c r="C423" t="s">
        <v>1248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1249</v>
      </c>
      <c r="B424" t="s">
        <v>1250</v>
      </c>
      <c r="C424" t="s">
        <v>1251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1252</v>
      </c>
      <c r="B425" t="s">
        <v>1253</v>
      </c>
      <c r="C425" t="s">
        <v>1254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1255</v>
      </c>
      <c r="B426" t="s">
        <v>1256</v>
      </c>
      <c r="C426" t="s">
        <v>1257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1258</v>
      </c>
      <c r="B427" t="s">
        <v>1259</v>
      </c>
      <c r="C427" t="s">
        <v>1260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1261</v>
      </c>
      <c r="B428" t="s">
        <v>1262</v>
      </c>
      <c r="C428" t="s">
        <v>1263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1264</v>
      </c>
      <c r="B429" t="s">
        <v>1265</v>
      </c>
      <c r="C429" t="s">
        <v>1266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1267</v>
      </c>
      <c r="B430" t="s">
        <v>1268</v>
      </c>
      <c r="C430" t="s">
        <v>1269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1270</v>
      </c>
      <c r="B431" t="s">
        <v>1271</v>
      </c>
      <c r="C431" t="s">
        <v>1272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1273</v>
      </c>
      <c r="B432" t="s">
        <v>1274</v>
      </c>
      <c r="C432" t="s">
        <v>1275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1276</v>
      </c>
      <c r="B433" t="s">
        <v>1277</v>
      </c>
      <c r="C433" t="s">
        <v>1278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1279</v>
      </c>
      <c r="B434" t="s">
        <v>1280</v>
      </c>
      <c r="C434" t="s">
        <v>1281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1282</v>
      </c>
      <c r="B435" t="s">
        <v>1283</v>
      </c>
      <c r="C435" t="s">
        <v>1284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1285</v>
      </c>
      <c r="B436" t="s">
        <v>1286</v>
      </c>
      <c r="C436" t="s">
        <v>1287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1288</v>
      </c>
      <c r="B437" t="s">
        <v>1289</v>
      </c>
      <c r="C437" t="s">
        <v>1290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1291</v>
      </c>
      <c r="B438" t="s">
        <v>1292</v>
      </c>
      <c r="C438" t="s">
        <v>1293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1294</v>
      </c>
      <c r="B439" t="s">
        <v>1295</v>
      </c>
      <c r="C439" t="s">
        <v>1296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1297</v>
      </c>
      <c r="B440" t="s">
        <v>1298</v>
      </c>
      <c r="C440" t="s">
        <v>1299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1300</v>
      </c>
      <c r="B441" t="s">
        <v>1301</v>
      </c>
      <c r="C441" t="s">
        <v>1302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1303</v>
      </c>
      <c r="B442" t="s">
        <v>1304</v>
      </c>
      <c r="C442" t="s">
        <v>1305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1306</v>
      </c>
      <c r="B443" t="s">
        <v>1307</v>
      </c>
      <c r="C443" t="s">
        <v>1308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1309</v>
      </c>
      <c r="B444" t="s">
        <v>1310</v>
      </c>
      <c r="C444" t="s">
        <v>1311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1312</v>
      </c>
      <c r="B445" t="s">
        <v>1313</v>
      </c>
      <c r="C445" t="s">
        <v>1314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1315</v>
      </c>
      <c r="B446" t="s">
        <v>1316</v>
      </c>
      <c r="C446" t="s">
        <v>1317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1318</v>
      </c>
      <c r="B447" t="s">
        <v>1319</v>
      </c>
      <c r="C447" t="s">
        <v>1320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1321</v>
      </c>
      <c r="B448" t="s">
        <v>1322</v>
      </c>
      <c r="C448" t="s">
        <v>1323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1324</v>
      </c>
      <c r="B449" t="s">
        <v>1325</v>
      </c>
      <c r="C449" t="s">
        <v>1326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1327</v>
      </c>
      <c r="B450" t="s">
        <v>1328</v>
      </c>
      <c r="C450" t="s">
        <v>1329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1330</v>
      </c>
      <c r="B451" t="s">
        <v>1331</v>
      </c>
      <c r="C451" t="s">
        <v>1332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1333</v>
      </c>
      <c r="B452" t="s">
        <v>1334</v>
      </c>
      <c r="C452" t="s">
        <v>1335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1336</v>
      </c>
      <c r="B453" t="s">
        <v>1337</v>
      </c>
      <c r="C453" t="s">
        <v>1338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1339</v>
      </c>
      <c r="B454" t="s">
        <v>1340</v>
      </c>
      <c r="C454" t="s">
        <v>1341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1342</v>
      </c>
      <c r="B455" t="s">
        <v>1343</v>
      </c>
      <c r="C455" t="s">
        <v>1344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1345</v>
      </c>
      <c r="B456" t="s">
        <v>1346</v>
      </c>
      <c r="C456" t="s">
        <v>1347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1348</v>
      </c>
      <c r="B457" t="s">
        <v>1349</v>
      </c>
      <c r="C457" t="s">
        <v>1350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1351</v>
      </c>
      <c r="B458" t="s">
        <v>1352</v>
      </c>
      <c r="C458" t="s">
        <v>1353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1354</v>
      </c>
      <c r="B459" t="s">
        <v>1355</v>
      </c>
      <c r="C459" t="s">
        <v>1356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1357</v>
      </c>
      <c r="B460" t="s">
        <v>1358</v>
      </c>
      <c r="C460" t="s">
        <v>1359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1360</v>
      </c>
      <c r="B461" t="s">
        <v>1361</v>
      </c>
      <c r="C461" t="s">
        <v>1362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1363</v>
      </c>
      <c r="B462" t="s">
        <v>1364</v>
      </c>
      <c r="C462" t="s">
        <v>1365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1366</v>
      </c>
      <c r="B463" t="s">
        <v>1367</v>
      </c>
      <c r="C463" t="s">
        <v>1368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1369</v>
      </c>
      <c r="B464" t="s">
        <v>1370</v>
      </c>
      <c r="C464" t="s">
        <v>1371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1372</v>
      </c>
      <c r="B465" t="s">
        <v>1373</v>
      </c>
      <c r="C465" t="s">
        <v>1374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1375</v>
      </c>
      <c r="B466" t="s">
        <v>1376</v>
      </c>
      <c r="C466" t="s">
        <v>1377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1378</v>
      </c>
      <c r="B467" t="s">
        <v>1379</v>
      </c>
      <c r="C467" t="s">
        <v>1380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1381</v>
      </c>
      <c r="B468" t="s">
        <v>1382</v>
      </c>
      <c r="C468" t="s">
        <v>1383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1384</v>
      </c>
      <c r="B469" t="s">
        <v>1385</v>
      </c>
      <c r="C469" t="s">
        <v>1386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1387</v>
      </c>
      <c r="B470" t="s">
        <v>1388</v>
      </c>
      <c r="C470" t="s">
        <v>1389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1390</v>
      </c>
      <c r="B471" t="s">
        <v>1391</v>
      </c>
      <c r="C471" t="s">
        <v>1392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1393</v>
      </c>
      <c r="B472" t="s">
        <v>1394</v>
      </c>
      <c r="C472" t="s">
        <v>1395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1396</v>
      </c>
      <c r="B473" t="s">
        <v>1397</v>
      </c>
      <c r="C473" t="s">
        <v>1398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1399</v>
      </c>
      <c r="B474" t="s">
        <v>1400</v>
      </c>
      <c r="C474" t="s">
        <v>1401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1402</v>
      </c>
      <c r="B475" t="s">
        <v>1403</v>
      </c>
      <c r="C475" t="s">
        <v>1404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1405</v>
      </c>
      <c r="B476" t="s">
        <v>1406</v>
      </c>
      <c r="C476" t="s">
        <v>1407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1408</v>
      </c>
      <c r="B477" t="s">
        <v>1409</v>
      </c>
      <c r="C477" t="s">
        <v>1410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1411</v>
      </c>
      <c r="B478" t="s">
        <v>1412</v>
      </c>
      <c r="C478" t="s">
        <v>1413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1414</v>
      </c>
      <c r="B479" t="s">
        <v>1415</v>
      </c>
      <c r="C479" t="s">
        <v>1416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1417</v>
      </c>
      <c r="B480" t="s">
        <v>1418</v>
      </c>
      <c r="C480" t="s">
        <v>1419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1420</v>
      </c>
      <c r="B481" t="s">
        <v>1421</v>
      </c>
      <c r="C481" t="s">
        <v>1422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1423</v>
      </c>
      <c r="B482" t="s">
        <v>1424</v>
      </c>
      <c r="C482" t="s">
        <v>1425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1426</v>
      </c>
      <c r="B483" t="s">
        <v>1427</v>
      </c>
      <c r="C483" t="s">
        <v>1428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1429</v>
      </c>
      <c r="B484" t="s">
        <v>1430</v>
      </c>
      <c r="C484" t="s">
        <v>1431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1432</v>
      </c>
      <c r="B485" t="s">
        <v>1433</v>
      </c>
      <c r="C485" t="s">
        <v>1434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1435</v>
      </c>
      <c r="B486" t="s">
        <v>1436</v>
      </c>
      <c r="C486" t="s">
        <v>1437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1438</v>
      </c>
      <c r="B487" t="s">
        <v>1439</v>
      </c>
      <c r="C487" t="s">
        <v>1440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1441</v>
      </c>
      <c r="B488" t="s">
        <v>1442</v>
      </c>
      <c r="C488" t="s">
        <v>1443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1444</v>
      </c>
      <c r="B489" t="s">
        <v>1445</v>
      </c>
      <c r="C489" t="s">
        <v>1446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1447</v>
      </c>
      <c r="B490" t="s">
        <v>1448</v>
      </c>
      <c r="C490" t="s">
        <v>1449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1450</v>
      </c>
      <c r="B491" t="s">
        <v>1451</v>
      </c>
      <c r="C491" t="s">
        <v>1452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1453</v>
      </c>
      <c r="B492" t="s">
        <v>1454</v>
      </c>
      <c r="C492" t="s">
        <v>1455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1456</v>
      </c>
      <c r="B493" t="s">
        <v>1457</v>
      </c>
      <c r="C493" t="s">
        <v>1458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1459</v>
      </c>
      <c r="B494" t="s">
        <v>1460</v>
      </c>
      <c r="C494" t="s">
        <v>1461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1462</v>
      </c>
      <c r="B495" t="s">
        <v>1463</v>
      </c>
      <c r="C495" t="s">
        <v>1464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1465</v>
      </c>
      <c r="B496" t="s">
        <v>1466</v>
      </c>
      <c r="C496" t="s">
        <v>1467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1468</v>
      </c>
      <c r="B497" t="s">
        <v>1469</v>
      </c>
      <c r="C497" t="s">
        <v>1470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1471</v>
      </c>
      <c r="B498" t="s">
        <v>1472</v>
      </c>
      <c r="C498" t="s">
        <v>1473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1474</v>
      </c>
      <c r="B499" t="s">
        <v>1475</v>
      </c>
      <c r="C499" t="s">
        <v>1476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1477</v>
      </c>
      <c r="B500" t="s">
        <v>1478</v>
      </c>
      <c r="C500" t="s">
        <v>1479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1480</v>
      </c>
      <c r="B501" t="s">
        <v>1481</v>
      </c>
      <c r="C501" t="s">
        <v>1482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1483</v>
      </c>
      <c r="B502" t="s">
        <v>1484</v>
      </c>
      <c r="C502" t="s">
        <v>1485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1486</v>
      </c>
      <c r="B503" t="s">
        <v>1487</v>
      </c>
      <c r="C503" t="s">
        <v>1488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1489</v>
      </c>
      <c r="B504" t="s">
        <v>1490</v>
      </c>
      <c r="C504" t="s">
        <v>1491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1492</v>
      </c>
      <c r="B505" t="s">
        <v>1493</v>
      </c>
      <c r="C505" t="s">
        <v>1494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1495</v>
      </c>
      <c r="B506" t="s">
        <v>1496</v>
      </c>
      <c r="C506" t="s">
        <v>1497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1498</v>
      </c>
      <c r="B507" t="s">
        <v>1499</v>
      </c>
      <c r="C507" t="s">
        <v>1500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1501</v>
      </c>
      <c r="B508" t="s">
        <v>1502</v>
      </c>
      <c r="C508" t="s">
        <v>1503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1504</v>
      </c>
      <c r="B509" t="s">
        <v>1505</v>
      </c>
      <c r="C509" t="s">
        <v>1506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1507</v>
      </c>
      <c r="B510" t="s">
        <v>1508</v>
      </c>
      <c r="C510" t="s">
        <v>1509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1510</v>
      </c>
      <c r="B511" t="s">
        <v>1511</v>
      </c>
      <c r="C511" t="s">
        <v>1512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1513</v>
      </c>
      <c r="B512" t="s">
        <v>1514</v>
      </c>
      <c r="C512" t="s">
        <v>1515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1516</v>
      </c>
      <c r="B513" t="s">
        <v>1517</v>
      </c>
      <c r="C513" t="s">
        <v>1518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1519</v>
      </c>
      <c r="B514" t="s">
        <v>1520</v>
      </c>
      <c r="C514" t="s">
        <v>1521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1522</v>
      </c>
      <c r="B515" t="s">
        <v>1523</v>
      </c>
      <c r="C515" t="s">
        <v>1524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1525</v>
      </c>
      <c r="B516" t="s">
        <v>1526</v>
      </c>
      <c r="C516" t="s">
        <v>1527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1528</v>
      </c>
      <c r="B517" t="s">
        <v>1529</v>
      </c>
      <c r="C517" t="s">
        <v>1530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1531</v>
      </c>
      <c r="B518" t="s">
        <v>1532</v>
      </c>
      <c r="C518" t="s">
        <v>1533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1534</v>
      </c>
      <c r="B519" t="s">
        <v>1535</v>
      </c>
      <c r="C519" t="s">
        <v>1536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1537</v>
      </c>
      <c r="B520" t="s">
        <v>1538</v>
      </c>
      <c r="C520" t="s">
        <v>1539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1540</v>
      </c>
      <c r="B521" t="s">
        <v>1541</v>
      </c>
      <c r="C521" t="s">
        <v>1542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1543</v>
      </c>
      <c r="B522" t="s">
        <v>1544</v>
      </c>
      <c r="C522" t="s">
        <v>1545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1546</v>
      </c>
      <c r="B523" t="s">
        <v>1547</v>
      </c>
      <c r="C523" t="s">
        <v>1548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1549</v>
      </c>
      <c r="B524" t="s">
        <v>1550</v>
      </c>
      <c r="C524" t="s">
        <v>1551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1552</v>
      </c>
      <c r="B525" t="s">
        <v>1553</v>
      </c>
      <c r="C525" t="s">
        <v>1554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1555</v>
      </c>
      <c r="B526" t="s">
        <v>1556</v>
      </c>
      <c r="C526" t="s">
        <v>1557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1558</v>
      </c>
      <c r="B527" t="s">
        <v>1559</v>
      </c>
      <c r="C527" t="s">
        <v>1560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1561</v>
      </c>
      <c r="B528" t="s">
        <v>1562</v>
      </c>
      <c r="C528" t="s">
        <v>1563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1564</v>
      </c>
      <c r="B529" t="s">
        <v>1565</v>
      </c>
      <c r="C529" t="s">
        <v>1566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1567</v>
      </c>
      <c r="B530" t="s">
        <v>1568</v>
      </c>
      <c r="C530" t="s">
        <v>1569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1570</v>
      </c>
      <c r="B531" t="s">
        <v>1571</v>
      </c>
      <c r="C531" t="s">
        <v>1572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1573</v>
      </c>
      <c r="B532" t="s">
        <v>1574</v>
      </c>
      <c r="C532" t="s">
        <v>1575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1576</v>
      </c>
      <c r="B533" t="s">
        <v>1577</v>
      </c>
      <c r="C533" t="s">
        <v>1578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1579</v>
      </c>
      <c r="B534" t="s">
        <v>1580</v>
      </c>
      <c r="C534" t="s">
        <v>1581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1582</v>
      </c>
      <c r="B535" t="s">
        <v>1583</v>
      </c>
      <c r="C535" t="s">
        <v>1584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1585</v>
      </c>
      <c r="B536" t="s">
        <v>1586</v>
      </c>
      <c r="C536" t="s">
        <v>1587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1588</v>
      </c>
      <c r="B537" t="s">
        <v>1589</v>
      </c>
      <c r="C537" t="s">
        <v>1590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1591</v>
      </c>
      <c r="B538" t="s">
        <v>1592</v>
      </c>
      <c r="C538" t="s">
        <v>1593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1594</v>
      </c>
      <c r="B539" t="s">
        <v>1595</v>
      </c>
      <c r="C539" t="s">
        <v>1596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1597</v>
      </c>
      <c r="B540" t="s">
        <v>1598</v>
      </c>
      <c r="C540" t="s">
        <v>1599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1600</v>
      </c>
      <c r="B541" t="s">
        <v>1601</v>
      </c>
      <c r="C541" t="s">
        <v>1602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1603</v>
      </c>
      <c r="B542" t="s">
        <v>1604</v>
      </c>
      <c r="C542" t="s">
        <v>1605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1606</v>
      </c>
      <c r="B543" t="s">
        <v>1607</v>
      </c>
      <c r="C543" t="s">
        <v>1608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1609</v>
      </c>
      <c r="B544" t="s">
        <v>1610</v>
      </c>
      <c r="C544" t="s">
        <v>1611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1612</v>
      </c>
      <c r="B545" t="s">
        <v>1613</v>
      </c>
      <c r="C545" t="s">
        <v>1614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1615</v>
      </c>
      <c r="B546" t="s">
        <v>1616</v>
      </c>
      <c r="C546" t="s">
        <v>1617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1618</v>
      </c>
      <c r="B547" t="s">
        <v>1619</v>
      </c>
      <c r="C547" t="s">
        <v>1620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1621</v>
      </c>
      <c r="B548" t="s">
        <v>1622</v>
      </c>
      <c r="C548" t="s">
        <v>1623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1624</v>
      </c>
      <c r="B549" t="s">
        <v>1625</v>
      </c>
      <c r="C549" t="s">
        <v>1626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1627</v>
      </c>
      <c r="B550" t="s">
        <v>1628</v>
      </c>
      <c r="C550" t="s">
        <v>1629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1630</v>
      </c>
      <c r="B551" t="s">
        <v>1631</v>
      </c>
      <c r="C551" t="s">
        <v>1632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1633</v>
      </c>
      <c r="B552" t="s">
        <v>1634</v>
      </c>
      <c r="C552" t="s">
        <v>1635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1636</v>
      </c>
      <c r="B553" t="s">
        <v>1637</v>
      </c>
      <c r="C553" t="s">
        <v>1638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1639</v>
      </c>
      <c r="B554" t="s">
        <v>1640</v>
      </c>
      <c r="C554" t="s">
        <v>1641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1642</v>
      </c>
      <c r="B555" t="s">
        <v>1643</v>
      </c>
      <c r="C555" t="s">
        <v>1644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1645</v>
      </c>
      <c r="B556" t="s">
        <v>1646</v>
      </c>
      <c r="C556" t="s">
        <v>1647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1648</v>
      </c>
      <c r="B557" t="s">
        <v>1649</v>
      </c>
      <c r="C557" t="s">
        <v>1650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1651</v>
      </c>
      <c r="B558" t="s">
        <v>1652</v>
      </c>
      <c r="C558" t="s">
        <v>1653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1654</v>
      </c>
      <c r="B559" t="s">
        <v>1655</v>
      </c>
      <c r="C559" t="s">
        <v>1656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1657</v>
      </c>
      <c r="B560" t="s">
        <v>1658</v>
      </c>
      <c r="C560" t="s">
        <v>1659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1660</v>
      </c>
      <c r="B561" t="s">
        <v>1661</v>
      </c>
      <c r="C561" t="s">
        <v>1662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1663</v>
      </c>
      <c r="B562" t="s">
        <v>1664</v>
      </c>
      <c r="C562" t="s">
        <v>1665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1666</v>
      </c>
      <c r="B563" t="s">
        <v>1667</v>
      </c>
      <c r="C563" t="s">
        <v>1668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1669</v>
      </c>
      <c r="B564" t="s">
        <v>1670</v>
      </c>
      <c r="C564" t="s">
        <v>1671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1672</v>
      </c>
      <c r="B565" t="s">
        <v>1673</v>
      </c>
      <c r="C565" t="s">
        <v>1674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1675</v>
      </c>
      <c r="B566" t="s">
        <v>1676</v>
      </c>
      <c r="C566" t="s">
        <v>1677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1678</v>
      </c>
      <c r="B567" t="s">
        <v>1679</v>
      </c>
      <c r="C567" t="s">
        <v>1680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1681</v>
      </c>
      <c r="B568" t="s">
        <v>1682</v>
      </c>
      <c r="C568" t="s">
        <v>1683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1684</v>
      </c>
      <c r="B569" t="s">
        <v>1685</v>
      </c>
      <c r="C569" t="s">
        <v>1686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1687</v>
      </c>
      <c r="B570" t="s">
        <v>1688</v>
      </c>
      <c r="C570" t="s">
        <v>1689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1690</v>
      </c>
      <c r="B571" t="s">
        <v>1691</v>
      </c>
      <c r="C571" t="s">
        <v>1692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1693</v>
      </c>
      <c r="B572" t="s">
        <v>1691</v>
      </c>
      <c r="C572" t="s">
        <v>1694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1695</v>
      </c>
      <c r="B573" t="s">
        <v>1691</v>
      </c>
      <c r="C573" t="s">
        <v>1696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1697</v>
      </c>
      <c r="B574" t="s">
        <v>1698</v>
      </c>
      <c r="C574" t="s">
        <v>1699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1700</v>
      </c>
      <c r="B575" t="s">
        <v>1701</v>
      </c>
      <c r="C575" t="s">
        <v>1702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1703</v>
      </c>
      <c r="B576" t="s">
        <v>1704</v>
      </c>
      <c r="C576" t="s">
        <v>1705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1706</v>
      </c>
      <c r="B577" t="s">
        <v>1707</v>
      </c>
      <c r="C577" t="s">
        <v>1708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1709</v>
      </c>
      <c r="B578" t="s">
        <v>1710</v>
      </c>
      <c r="C578" t="s">
        <v>1711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1712</v>
      </c>
      <c r="B579" t="s">
        <v>1713</v>
      </c>
      <c r="C579" t="s">
        <v>1714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1715</v>
      </c>
      <c r="B580" t="s">
        <v>1716</v>
      </c>
      <c r="C580" t="s">
        <v>1717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1718</v>
      </c>
      <c r="B581" t="s">
        <v>1719</v>
      </c>
      <c r="C581" t="s">
        <v>1720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1721</v>
      </c>
      <c r="B582" t="s">
        <v>1722</v>
      </c>
      <c r="C582" t="s">
        <v>1723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1724</v>
      </c>
      <c r="B583" t="s">
        <v>1725</v>
      </c>
      <c r="C583" t="s">
        <v>1726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1727</v>
      </c>
      <c r="B584" t="s">
        <v>1728</v>
      </c>
      <c r="C584" t="s">
        <v>1729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1730</v>
      </c>
      <c r="B585" t="s">
        <v>1731</v>
      </c>
      <c r="C585" t="s">
        <v>1732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1733</v>
      </c>
      <c r="B586" t="s">
        <v>1734</v>
      </c>
      <c r="C586" t="s">
        <v>1735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1736</v>
      </c>
      <c r="B587" t="s">
        <v>1737</v>
      </c>
      <c r="C587" t="s">
        <v>1738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1739</v>
      </c>
      <c r="B588" t="s">
        <v>1740</v>
      </c>
      <c r="C588" t="s">
        <v>1741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1742</v>
      </c>
      <c r="B589" t="s">
        <v>1743</v>
      </c>
      <c r="C589" t="s">
        <v>1744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1745</v>
      </c>
      <c r="B590" t="s">
        <v>1746</v>
      </c>
      <c r="C590" t="s">
        <v>1747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1748</v>
      </c>
      <c r="B591" t="s">
        <v>1749</v>
      </c>
      <c r="C591" t="s">
        <v>1750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1751</v>
      </c>
      <c r="B592" t="s">
        <v>1752</v>
      </c>
      <c r="C592" t="s">
        <v>1753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1754</v>
      </c>
      <c r="B593" t="s">
        <v>1755</v>
      </c>
      <c r="C593" t="s">
        <v>1756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1757</v>
      </c>
      <c r="B594" t="s">
        <v>1758</v>
      </c>
      <c r="C594" t="s">
        <v>1759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1760</v>
      </c>
      <c r="B595" t="s">
        <v>1761</v>
      </c>
      <c r="C595" t="s">
        <v>1762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1763</v>
      </c>
      <c r="B596" t="s">
        <v>1764</v>
      </c>
      <c r="C596" t="s">
        <v>1765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1766</v>
      </c>
      <c r="B597" t="s">
        <v>1767</v>
      </c>
      <c r="C597" t="s">
        <v>1768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1769</v>
      </c>
      <c r="B598" t="s">
        <v>1770</v>
      </c>
      <c r="C598" t="s">
        <v>1771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1772</v>
      </c>
      <c r="B599" t="s">
        <v>1773</v>
      </c>
      <c r="C599" t="s">
        <v>1774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1775</v>
      </c>
      <c r="B600" t="s">
        <v>1776</v>
      </c>
      <c r="C600" t="s">
        <v>1777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1778</v>
      </c>
      <c r="B601" t="s">
        <v>1779</v>
      </c>
      <c r="C601" t="s">
        <v>1780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1781</v>
      </c>
      <c r="B602" t="s">
        <v>1782</v>
      </c>
      <c r="C602" t="s">
        <v>1783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1784</v>
      </c>
      <c r="B603" t="s">
        <v>1785</v>
      </c>
      <c r="C603" t="s">
        <v>1786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1787</v>
      </c>
      <c r="B604" t="s">
        <v>1788</v>
      </c>
      <c r="C604" t="s">
        <v>1789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1790</v>
      </c>
      <c r="B605" t="s">
        <v>1791</v>
      </c>
      <c r="C605" t="s">
        <v>1792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1793</v>
      </c>
      <c r="B606" t="s">
        <v>1794</v>
      </c>
      <c r="C606" t="s">
        <v>1795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1796</v>
      </c>
      <c r="B607" t="s">
        <v>1797</v>
      </c>
      <c r="C607" t="s">
        <v>1798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1799</v>
      </c>
      <c r="B608" t="s">
        <v>1800</v>
      </c>
      <c r="C608" t="s">
        <v>1801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1802</v>
      </c>
      <c r="B609" t="s">
        <v>1803</v>
      </c>
      <c r="C609" t="s">
        <v>1804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1805</v>
      </c>
      <c r="B610" t="s">
        <v>1806</v>
      </c>
      <c r="C610" t="s">
        <v>1807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1808</v>
      </c>
      <c r="B611" t="s">
        <v>1809</v>
      </c>
      <c r="C611" t="s">
        <v>1810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1811</v>
      </c>
      <c r="B612" t="s">
        <v>1812</v>
      </c>
      <c r="C612" t="s">
        <v>1813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1814</v>
      </c>
      <c r="B613" t="s">
        <v>1815</v>
      </c>
      <c r="C613" t="s">
        <v>1816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1817</v>
      </c>
      <c r="B614" t="s">
        <v>1818</v>
      </c>
      <c r="C614" t="s">
        <v>1819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1820</v>
      </c>
      <c r="B615" t="s">
        <v>1821</v>
      </c>
      <c r="C615" t="s">
        <v>1822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1823</v>
      </c>
      <c r="B616" t="s">
        <v>1824</v>
      </c>
      <c r="C616" t="s">
        <v>1825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1826</v>
      </c>
      <c r="B617" t="s">
        <v>1827</v>
      </c>
      <c r="C617" t="s">
        <v>1828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1829</v>
      </c>
      <c r="B618" t="s">
        <v>1830</v>
      </c>
      <c r="C618" t="s">
        <v>1831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1832</v>
      </c>
      <c r="B619" t="s">
        <v>1833</v>
      </c>
      <c r="C619" t="s">
        <v>1834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1835</v>
      </c>
      <c r="B620" t="s">
        <v>1836</v>
      </c>
      <c r="C620" t="s">
        <v>1837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1838</v>
      </c>
      <c r="B621" t="s">
        <v>1839</v>
      </c>
      <c r="C621" t="s">
        <v>1840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1841</v>
      </c>
      <c r="B622" t="s">
        <v>1842</v>
      </c>
      <c r="C622" t="s">
        <v>1843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1844</v>
      </c>
      <c r="B623" t="s">
        <v>1845</v>
      </c>
      <c r="C623" t="s">
        <v>1846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1847</v>
      </c>
      <c r="B624" t="s">
        <v>1848</v>
      </c>
      <c r="C624" t="s">
        <v>1849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1850</v>
      </c>
      <c r="B625" t="s">
        <v>1851</v>
      </c>
      <c r="C625" t="s">
        <v>1852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1853</v>
      </c>
      <c r="B626" t="s">
        <v>1854</v>
      </c>
      <c r="C626" t="s">
        <v>1855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1856</v>
      </c>
      <c r="B627" t="s">
        <v>1857</v>
      </c>
      <c r="C627" t="s">
        <v>1858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1859</v>
      </c>
      <c r="B628" t="s">
        <v>1860</v>
      </c>
      <c r="C628" t="s">
        <v>1861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1862</v>
      </c>
      <c r="B629" t="s">
        <v>1863</v>
      </c>
      <c r="C629" t="s">
        <v>1864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1865</v>
      </c>
      <c r="B630" t="s">
        <v>1866</v>
      </c>
      <c r="C630" t="s">
        <v>1867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1868</v>
      </c>
      <c r="B631" t="s">
        <v>1869</v>
      </c>
      <c r="C631" t="s">
        <v>1870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1871</v>
      </c>
      <c r="B632" t="s">
        <v>1872</v>
      </c>
      <c r="C632" t="s">
        <v>1873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1874</v>
      </c>
      <c r="B633" t="s">
        <v>1875</v>
      </c>
      <c r="C633" t="s">
        <v>1876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1877</v>
      </c>
      <c r="B634" t="s">
        <v>1878</v>
      </c>
      <c r="C634" t="s">
        <v>1879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1880</v>
      </c>
      <c r="B635" t="s">
        <v>1881</v>
      </c>
      <c r="C635" t="s">
        <v>1882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1883</v>
      </c>
      <c r="B636" t="s">
        <v>1884</v>
      </c>
      <c r="C636" t="s">
        <v>1885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1886</v>
      </c>
      <c r="B637" t="s">
        <v>1887</v>
      </c>
      <c r="C637" t="s">
        <v>1888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1889</v>
      </c>
      <c r="B638" t="s">
        <v>1890</v>
      </c>
      <c r="C638" t="s">
        <v>1891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1892</v>
      </c>
      <c r="B639" t="s">
        <v>1893</v>
      </c>
      <c r="C639" t="s">
        <v>1894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1895</v>
      </c>
      <c r="B640" t="s">
        <v>1896</v>
      </c>
      <c r="C640" t="s">
        <v>1897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1898</v>
      </c>
      <c r="B641" t="s">
        <v>1899</v>
      </c>
      <c r="C641" t="s">
        <v>1900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1901</v>
      </c>
      <c r="B642" t="s">
        <v>1902</v>
      </c>
      <c r="C642" t="s">
        <v>1903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1904</v>
      </c>
      <c r="B643" t="s">
        <v>1905</v>
      </c>
      <c r="C643" t="s">
        <v>1906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1907</v>
      </c>
      <c r="B644" t="s">
        <v>1908</v>
      </c>
      <c r="C644" t="s">
        <v>1909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1910</v>
      </c>
      <c r="B645" t="s">
        <v>1911</v>
      </c>
      <c r="C645" t="s">
        <v>1912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1913</v>
      </c>
      <c r="B646" t="s">
        <v>1914</v>
      </c>
      <c r="C646" t="s">
        <v>1915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1916</v>
      </c>
      <c r="B647" t="s">
        <v>1917</v>
      </c>
      <c r="C647" t="s">
        <v>1918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1919</v>
      </c>
      <c r="B648" t="s">
        <v>1920</v>
      </c>
      <c r="C648" t="s">
        <v>1921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1922</v>
      </c>
      <c r="B649" t="s">
        <v>1923</v>
      </c>
      <c r="C649" t="s">
        <v>1924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1925</v>
      </c>
      <c r="B650" t="s">
        <v>1923</v>
      </c>
      <c r="C650" t="s">
        <v>1926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1927</v>
      </c>
      <c r="B651" t="s">
        <v>1928</v>
      </c>
      <c r="C651" t="s">
        <v>1929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1930</v>
      </c>
      <c r="B652" t="s">
        <v>1931</v>
      </c>
      <c r="C652" t="s">
        <v>1932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1933</v>
      </c>
      <c r="B653" t="s">
        <v>1934</v>
      </c>
      <c r="C653" t="s">
        <v>1935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1936</v>
      </c>
      <c r="B654" t="s">
        <v>1937</v>
      </c>
      <c r="C654" t="s">
        <v>1938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1939</v>
      </c>
      <c r="B655" t="s">
        <v>1940</v>
      </c>
      <c r="C655" t="s">
        <v>1941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1942</v>
      </c>
      <c r="B656" t="s">
        <v>1943</v>
      </c>
      <c r="C656" t="s">
        <v>1944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1945</v>
      </c>
      <c r="B657" t="s">
        <v>1946</v>
      </c>
      <c r="C657" t="s">
        <v>1947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1948</v>
      </c>
      <c r="B658" t="s">
        <v>1949</v>
      </c>
      <c r="C658" t="s">
        <v>1950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1951</v>
      </c>
      <c r="B659" t="s">
        <v>1952</v>
      </c>
      <c r="C659" t="s">
        <v>1953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1954</v>
      </c>
      <c r="B660" t="s">
        <v>1955</v>
      </c>
      <c r="C660" t="s">
        <v>1956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1957</v>
      </c>
      <c r="B661" t="s">
        <v>1958</v>
      </c>
      <c r="C661" t="s">
        <v>1959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1960</v>
      </c>
      <c r="B662" t="s">
        <v>1961</v>
      </c>
      <c r="C662" t="s">
        <v>1962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1963</v>
      </c>
      <c r="B663" t="s">
        <v>1964</v>
      </c>
      <c r="C663" t="s">
        <v>1965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1966</v>
      </c>
      <c r="B664" t="s">
        <v>1967</v>
      </c>
      <c r="C664" t="s">
        <v>1968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1969</v>
      </c>
      <c r="B665" t="s">
        <v>1970</v>
      </c>
      <c r="C665" t="s">
        <v>1971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1972</v>
      </c>
      <c r="B666" t="s">
        <v>1973</v>
      </c>
      <c r="C666" t="s">
        <v>1974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1975</v>
      </c>
      <c r="B667" t="s">
        <v>1976</v>
      </c>
      <c r="C667" t="s">
        <v>1977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1978</v>
      </c>
      <c r="B668" t="s">
        <v>1979</v>
      </c>
      <c r="C668" t="s">
        <v>1980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1981</v>
      </c>
      <c r="B669" t="s">
        <v>1982</v>
      </c>
      <c r="C669" t="s">
        <v>1983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1984</v>
      </c>
      <c r="B670" t="s">
        <v>1985</v>
      </c>
      <c r="C670" t="s">
        <v>1986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1987</v>
      </c>
      <c r="B671" t="s">
        <v>1988</v>
      </c>
      <c r="C671" t="s">
        <v>1989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1990</v>
      </c>
      <c r="B672" t="s">
        <v>1991</v>
      </c>
      <c r="C672" t="s">
        <v>1992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1993</v>
      </c>
      <c r="B673" t="s">
        <v>1994</v>
      </c>
      <c r="C673" t="s">
        <v>1995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1996</v>
      </c>
      <c r="B674" t="s">
        <v>1997</v>
      </c>
      <c r="C674" t="s">
        <v>1998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1999</v>
      </c>
      <c r="B675" t="s">
        <v>2000</v>
      </c>
      <c r="C675" t="s">
        <v>2001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2002</v>
      </c>
      <c r="B676" t="s">
        <v>2003</v>
      </c>
      <c r="C676" t="s">
        <v>2004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2005</v>
      </c>
      <c r="B677" t="s">
        <v>2006</v>
      </c>
      <c r="C677" t="s">
        <v>2007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2008</v>
      </c>
      <c r="B678" t="s">
        <v>2009</v>
      </c>
      <c r="C678" t="s">
        <v>2010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2011</v>
      </c>
      <c r="B679" t="s">
        <v>2012</v>
      </c>
      <c r="C679" t="s">
        <v>2013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2014</v>
      </c>
      <c r="B680" t="s">
        <v>2015</v>
      </c>
      <c r="C680" t="s">
        <v>2016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2017</v>
      </c>
      <c r="B681" t="s">
        <v>2018</v>
      </c>
      <c r="C681" t="s">
        <v>2019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2020</v>
      </c>
      <c r="B682" t="s">
        <v>2021</v>
      </c>
      <c r="C682" t="s">
        <v>2022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2023</v>
      </c>
      <c r="B683" t="s">
        <v>2024</v>
      </c>
      <c r="C683" t="s">
        <v>2025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2026</v>
      </c>
      <c r="B684" t="s">
        <v>2027</v>
      </c>
      <c r="C684" t="s">
        <v>2028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2029</v>
      </c>
      <c r="B685" t="s">
        <v>2030</v>
      </c>
      <c r="C685" t="s">
        <v>2031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2032</v>
      </c>
      <c r="B686" t="s">
        <v>2033</v>
      </c>
      <c r="C686" t="s">
        <v>2034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2035</v>
      </c>
      <c r="B687" t="s">
        <v>2036</v>
      </c>
      <c r="C687" t="s">
        <v>2037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2038</v>
      </c>
      <c r="B688" t="s">
        <v>2039</v>
      </c>
      <c r="C688" t="s">
        <v>2040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2041</v>
      </c>
      <c r="B689" t="s">
        <v>2042</v>
      </c>
      <c r="C689" t="s">
        <v>2043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2044</v>
      </c>
      <c r="B690" t="s">
        <v>2045</v>
      </c>
      <c r="C690" t="s">
        <v>2046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2047</v>
      </c>
      <c r="B691" t="s">
        <v>2048</v>
      </c>
      <c r="C691" t="s">
        <v>2049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2050</v>
      </c>
      <c r="B692" t="s">
        <v>2051</v>
      </c>
      <c r="C692" t="s">
        <v>2052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2053</v>
      </c>
      <c r="B693" t="s">
        <v>2054</v>
      </c>
      <c r="C693" t="s">
        <v>2055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2056</v>
      </c>
      <c r="B694" t="s">
        <v>2057</v>
      </c>
      <c r="C694" t="s">
        <v>2058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2059</v>
      </c>
      <c r="B695" t="s">
        <v>2060</v>
      </c>
      <c r="C695" t="s">
        <v>2061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2062</v>
      </c>
      <c r="B696" t="s">
        <v>2063</v>
      </c>
      <c r="C696" t="s">
        <v>2064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2065</v>
      </c>
      <c r="B697" t="s">
        <v>2066</v>
      </c>
      <c r="C697" t="s">
        <v>2067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2068</v>
      </c>
      <c r="B698" t="s">
        <v>2069</v>
      </c>
      <c r="C698" t="s">
        <v>2070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2071</v>
      </c>
      <c r="B699" t="s">
        <v>2072</v>
      </c>
      <c r="C699" t="s">
        <v>2073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2074</v>
      </c>
      <c r="B700" t="s">
        <v>2075</v>
      </c>
      <c r="C700" t="s">
        <v>2076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2077</v>
      </c>
      <c r="B701" t="s">
        <v>2078</v>
      </c>
      <c r="C701" t="s">
        <v>2079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2080</v>
      </c>
      <c r="B702" t="s">
        <v>2078</v>
      </c>
      <c r="C702" t="s">
        <v>2081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2082</v>
      </c>
      <c r="B703" t="s">
        <v>2083</v>
      </c>
      <c r="C703" t="s">
        <v>2084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2085</v>
      </c>
      <c r="B704" t="s">
        <v>2086</v>
      </c>
      <c r="C704" t="s">
        <v>2087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2088</v>
      </c>
      <c r="B705" t="s">
        <v>2089</v>
      </c>
      <c r="C705" t="s">
        <v>2090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2091</v>
      </c>
      <c r="B706" t="s">
        <v>2092</v>
      </c>
      <c r="C706" t="s">
        <v>2093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2094</v>
      </c>
      <c r="B707" t="s">
        <v>2095</v>
      </c>
      <c r="C707" t="s">
        <v>2096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2097</v>
      </c>
      <c r="B708" t="s">
        <v>2098</v>
      </c>
      <c r="C708" t="s">
        <v>2099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2100</v>
      </c>
      <c r="B709" t="s">
        <v>2101</v>
      </c>
      <c r="C709" t="s">
        <v>2102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2103</v>
      </c>
      <c r="B710" t="s">
        <v>2104</v>
      </c>
      <c r="C710" t="s">
        <v>2105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2106</v>
      </c>
      <c r="B711" t="s">
        <v>2107</v>
      </c>
      <c r="C711" t="s">
        <v>2108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2109</v>
      </c>
      <c r="B712" t="s">
        <v>2110</v>
      </c>
      <c r="C712" t="s">
        <v>2111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2112</v>
      </c>
      <c r="B713" t="s">
        <v>2113</v>
      </c>
      <c r="C713" t="s">
        <v>2114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2115</v>
      </c>
      <c r="B714" t="s">
        <v>2116</v>
      </c>
      <c r="C714" t="s">
        <v>2117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2118</v>
      </c>
      <c r="B715" t="s">
        <v>2119</v>
      </c>
      <c r="C715" t="s">
        <v>2120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2121</v>
      </c>
      <c r="B716" t="s">
        <v>2122</v>
      </c>
      <c r="C716" t="s">
        <v>2123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2124</v>
      </c>
      <c r="B717" t="s">
        <v>2125</v>
      </c>
      <c r="C717" t="s">
        <v>2126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2127</v>
      </c>
      <c r="B718" t="s">
        <v>2128</v>
      </c>
      <c r="C718" t="s">
        <v>2129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2130</v>
      </c>
      <c r="B719" t="s">
        <v>2131</v>
      </c>
      <c r="C719" t="s">
        <v>2132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2133</v>
      </c>
      <c r="B720" t="s">
        <v>2134</v>
      </c>
      <c r="C720" t="s">
        <v>2135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2136</v>
      </c>
      <c r="B721" t="s">
        <v>2137</v>
      </c>
      <c r="C721" t="s">
        <v>2138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2139</v>
      </c>
      <c r="B722" t="s">
        <v>2140</v>
      </c>
      <c r="C722" t="s">
        <v>2141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2142</v>
      </c>
      <c r="B723" t="s">
        <v>2143</v>
      </c>
      <c r="C723" t="s">
        <v>2144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2145</v>
      </c>
      <c r="B724" t="s">
        <v>2146</v>
      </c>
      <c r="C724" t="s">
        <v>2147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2148</v>
      </c>
      <c r="B725" t="s">
        <v>2149</v>
      </c>
      <c r="C725" t="s">
        <v>2150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2151</v>
      </c>
      <c r="B726" t="s">
        <v>2152</v>
      </c>
      <c r="C726" t="s">
        <v>2153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2154</v>
      </c>
      <c r="B727" t="s">
        <v>2155</v>
      </c>
      <c r="C727" t="s">
        <v>2156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2157</v>
      </c>
      <c r="B728" t="s">
        <v>2158</v>
      </c>
      <c r="C728" t="s">
        <v>2159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2160</v>
      </c>
      <c r="B729" t="s">
        <v>2161</v>
      </c>
      <c r="C729" t="s">
        <v>2162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2163</v>
      </c>
      <c r="B730" t="s">
        <v>2164</v>
      </c>
      <c r="C730" t="s">
        <v>2165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2166</v>
      </c>
      <c r="B731" t="s">
        <v>2167</v>
      </c>
      <c r="C731" t="s">
        <v>2168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2169</v>
      </c>
      <c r="B732" t="s">
        <v>2170</v>
      </c>
      <c r="C732" t="s">
        <v>2171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2172</v>
      </c>
      <c r="B733" t="s">
        <v>2173</v>
      </c>
      <c r="C733" t="s">
        <v>2174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2175</v>
      </c>
      <c r="B734" t="s">
        <v>2176</v>
      </c>
      <c r="C734" t="s">
        <v>2177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2178</v>
      </c>
      <c r="B735" t="s">
        <v>2179</v>
      </c>
      <c r="C735" t="s">
        <v>2180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2181</v>
      </c>
      <c r="B736" t="s">
        <v>2182</v>
      </c>
      <c r="C736" t="s">
        <v>2183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2184</v>
      </c>
      <c r="B737" t="s">
        <v>2185</v>
      </c>
      <c r="C737" t="s">
        <v>2186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2187</v>
      </c>
      <c r="B738" t="s">
        <v>2188</v>
      </c>
      <c r="C738" t="s">
        <v>2189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2190</v>
      </c>
      <c r="B739" t="s">
        <v>2191</v>
      </c>
      <c r="C739" t="s">
        <v>2192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2193</v>
      </c>
      <c r="B740" t="s">
        <v>2194</v>
      </c>
      <c r="C740" t="s">
        <v>2195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2196</v>
      </c>
      <c r="B741" t="s">
        <v>2197</v>
      </c>
      <c r="C741" t="s">
        <v>2198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2199</v>
      </c>
      <c r="B742" t="s">
        <v>2200</v>
      </c>
      <c r="C742" t="s">
        <v>2201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2202</v>
      </c>
      <c r="B743" t="s">
        <v>2203</v>
      </c>
      <c r="C743" t="s">
        <v>2204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2205</v>
      </c>
      <c r="B744" t="s">
        <v>2206</v>
      </c>
      <c r="C744" t="s">
        <v>2207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2208</v>
      </c>
      <c r="B745" t="s">
        <v>2209</v>
      </c>
      <c r="C745" t="s">
        <v>2210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2211</v>
      </c>
      <c r="B746" t="s">
        <v>2212</v>
      </c>
      <c r="C746" t="s">
        <v>2213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2214</v>
      </c>
      <c r="B747" t="s">
        <v>2215</v>
      </c>
      <c r="C747" t="s">
        <v>2216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2217</v>
      </c>
      <c r="B748" t="s">
        <v>2218</v>
      </c>
      <c r="C748" t="s">
        <v>2219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2220</v>
      </c>
      <c r="B749" t="s">
        <v>2221</v>
      </c>
      <c r="C749" t="s">
        <v>2222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2223</v>
      </c>
      <c r="B750" t="s">
        <v>2224</v>
      </c>
      <c r="C750" t="s">
        <v>2225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2226</v>
      </c>
      <c r="B751" t="s">
        <v>2227</v>
      </c>
      <c r="C751" t="s">
        <v>2228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2229</v>
      </c>
      <c r="B752" t="s">
        <v>2230</v>
      </c>
      <c r="C752" t="s">
        <v>2231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2232</v>
      </c>
      <c r="B753" t="s">
        <v>2233</v>
      </c>
      <c r="C753" t="s">
        <v>2234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2235</v>
      </c>
      <c r="B754" t="s">
        <v>2236</v>
      </c>
      <c r="C754" t="s">
        <v>2237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2238</v>
      </c>
      <c r="B755" t="s">
        <v>2239</v>
      </c>
      <c r="C755" t="s">
        <v>2240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2241</v>
      </c>
      <c r="B756" t="s">
        <v>2242</v>
      </c>
      <c r="C756" t="s">
        <v>2243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2244</v>
      </c>
      <c r="B757" t="s">
        <v>2245</v>
      </c>
      <c r="C757" t="s">
        <v>2246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2247</v>
      </c>
      <c r="B758" t="s">
        <v>2248</v>
      </c>
      <c r="C758" t="s">
        <v>2249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2250</v>
      </c>
      <c r="B759" t="s">
        <v>2251</v>
      </c>
      <c r="C759" t="s">
        <v>2252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2253</v>
      </c>
      <c r="B760" t="s">
        <v>2251</v>
      </c>
      <c r="C760" t="s">
        <v>2254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2255</v>
      </c>
      <c r="B761" t="s">
        <v>2256</v>
      </c>
      <c r="C761" t="s">
        <v>2257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2258</v>
      </c>
      <c r="B762" t="s">
        <v>2259</v>
      </c>
      <c r="C762" t="s">
        <v>2260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2261</v>
      </c>
      <c r="B763" t="s">
        <v>2262</v>
      </c>
      <c r="C763" t="s">
        <v>2263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2264</v>
      </c>
      <c r="B764" t="s">
        <v>2265</v>
      </c>
      <c r="C764" t="s">
        <v>2266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2267</v>
      </c>
      <c r="B765" t="s">
        <v>2268</v>
      </c>
      <c r="C765" t="s">
        <v>2269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2270</v>
      </c>
      <c r="B766" t="s">
        <v>2271</v>
      </c>
      <c r="C766" t="s">
        <v>2272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2273</v>
      </c>
      <c r="B767" t="s">
        <v>2274</v>
      </c>
      <c r="C767" t="s">
        <v>2275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2276</v>
      </c>
      <c r="B768" t="s">
        <v>2277</v>
      </c>
      <c r="C768" t="s">
        <v>2278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2279</v>
      </c>
      <c r="B769" t="s">
        <v>2280</v>
      </c>
      <c r="C769" t="s">
        <v>2281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2282</v>
      </c>
      <c r="B770" t="s">
        <v>2283</v>
      </c>
      <c r="C770" t="s">
        <v>2284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2285</v>
      </c>
      <c r="B771" t="s">
        <v>2286</v>
      </c>
      <c r="C771" t="s">
        <v>2287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2288</v>
      </c>
      <c r="B772" t="s">
        <v>2289</v>
      </c>
      <c r="C772" t="s">
        <v>2290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2291</v>
      </c>
      <c r="B773" t="s">
        <v>2292</v>
      </c>
      <c r="C773" t="s">
        <v>2293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2294</v>
      </c>
      <c r="B774" t="s">
        <v>2295</v>
      </c>
      <c r="C774" t="s">
        <v>2296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2297</v>
      </c>
      <c r="B775" t="s">
        <v>2298</v>
      </c>
      <c r="C775" t="s">
        <v>2299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2300</v>
      </c>
      <c r="B776" t="s">
        <v>2301</v>
      </c>
      <c r="C776" t="s">
        <v>2302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2303</v>
      </c>
      <c r="B777" t="s">
        <v>2304</v>
      </c>
      <c r="C777" t="s">
        <v>2305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2306</v>
      </c>
      <c r="B778" t="s">
        <v>2307</v>
      </c>
      <c r="C778" t="s">
        <v>2308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2309</v>
      </c>
      <c r="B779" t="s">
        <v>2310</v>
      </c>
      <c r="C779" t="s">
        <v>2311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2312</v>
      </c>
      <c r="B780" t="s">
        <v>2313</v>
      </c>
      <c r="C780" t="s">
        <v>2314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2315</v>
      </c>
      <c r="B781" t="s">
        <v>2316</v>
      </c>
      <c r="C781" t="s">
        <v>2317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2318</v>
      </c>
      <c r="B782" t="s">
        <v>2316</v>
      </c>
      <c r="C782" t="s">
        <v>2319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2320</v>
      </c>
      <c r="B783" t="s">
        <v>2321</v>
      </c>
      <c r="C783" t="s">
        <v>2322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2323</v>
      </c>
      <c r="B784" t="s">
        <v>2324</v>
      </c>
      <c r="C784" t="s">
        <v>2325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2326</v>
      </c>
      <c r="B785" t="s">
        <v>2327</v>
      </c>
      <c r="C785" t="s">
        <v>2328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2329</v>
      </c>
      <c r="B786" t="s">
        <v>2330</v>
      </c>
      <c r="C786" t="s">
        <v>2331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2332</v>
      </c>
      <c r="B787" t="s">
        <v>2333</v>
      </c>
      <c r="C787" t="s">
        <v>2334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2335</v>
      </c>
      <c r="B788" t="s">
        <v>2336</v>
      </c>
      <c r="C788" t="s">
        <v>2337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2338</v>
      </c>
      <c r="B789" t="s">
        <v>2339</v>
      </c>
      <c r="C789" t="s">
        <v>2340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2341</v>
      </c>
      <c r="B790" t="s">
        <v>2342</v>
      </c>
      <c r="C790" t="s">
        <v>2343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2344</v>
      </c>
      <c r="B791" t="s">
        <v>2345</v>
      </c>
      <c r="C791" t="s">
        <v>2346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2347</v>
      </c>
      <c r="B792" t="s">
        <v>2348</v>
      </c>
      <c r="C792" t="s">
        <v>2349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2350</v>
      </c>
      <c r="B793" t="s">
        <v>2351</v>
      </c>
      <c r="C793" t="s">
        <v>2352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2353</v>
      </c>
      <c r="B794" t="s">
        <v>2351</v>
      </c>
      <c r="C794" t="s">
        <v>2354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2355</v>
      </c>
      <c r="B795" t="s">
        <v>2356</v>
      </c>
      <c r="C795" t="s">
        <v>2357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2358</v>
      </c>
      <c r="B796" t="s">
        <v>2359</v>
      </c>
      <c r="C796" t="s">
        <v>2360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2361</v>
      </c>
      <c r="B797" t="s">
        <v>2362</v>
      </c>
      <c r="C797" t="s">
        <v>2363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2364</v>
      </c>
      <c r="B798" t="s">
        <v>2365</v>
      </c>
      <c r="C798" t="s">
        <v>2366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2367</v>
      </c>
      <c r="B799" t="s">
        <v>2368</v>
      </c>
      <c r="C799" t="s">
        <v>2369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2370</v>
      </c>
      <c r="B800" t="s">
        <v>2371</v>
      </c>
      <c r="C800" t="s">
        <v>2372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2373</v>
      </c>
      <c r="B801" t="s">
        <v>2374</v>
      </c>
      <c r="C801" t="s">
        <v>2375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2376</v>
      </c>
      <c r="B802" t="s">
        <v>2377</v>
      </c>
      <c r="C802" t="s">
        <v>2378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2379</v>
      </c>
      <c r="B803" t="s">
        <v>2380</v>
      </c>
      <c r="C803" t="s">
        <v>2381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2382</v>
      </c>
      <c r="B804" t="s">
        <v>2383</v>
      </c>
      <c r="C804" t="s">
        <v>2384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2385</v>
      </c>
      <c r="B805" t="s">
        <v>2386</v>
      </c>
      <c r="C805" t="s">
        <v>2387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2388</v>
      </c>
      <c r="B806" t="s">
        <v>2389</v>
      </c>
      <c r="C806" t="s">
        <v>2390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2391</v>
      </c>
      <c r="B807" t="s">
        <v>2392</v>
      </c>
      <c r="C807" t="s">
        <v>2393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2394</v>
      </c>
      <c r="B808" t="s">
        <v>2395</v>
      </c>
      <c r="C808" t="s">
        <v>2396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2397</v>
      </c>
      <c r="B809" t="s">
        <v>2398</v>
      </c>
      <c r="C809" t="s">
        <v>2399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2400</v>
      </c>
      <c r="B810" t="s">
        <v>2401</v>
      </c>
      <c r="C810" t="s">
        <v>2402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2403</v>
      </c>
      <c r="B811" t="s">
        <v>2404</v>
      </c>
      <c r="C811" t="s">
        <v>2405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2406</v>
      </c>
      <c r="B812" t="s">
        <v>2407</v>
      </c>
      <c r="C812" t="s">
        <v>2408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2409</v>
      </c>
      <c r="B813" t="s">
        <v>2410</v>
      </c>
      <c r="C813" t="s">
        <v>2411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2412</v>
      </c>
      <c r="B814" t="s">
        <v>2413</v>
      </c>
      <c r="C814" t="s">
        <v>2414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2415</v>
      </c>
      <c r="B815" t="s">
        <v>2416</v>
      </c>
      <c r="C815" t="s">
        <v>2417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2418</v>
      </c>
      <c r="B816" t="s">
        <v>2419</v>
      </c>
      <c r="C816" t="s">
        <v>2420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2421</v>
      </c>
      <c r="B817" t="s">
        <v>2422</v>
      </c>
      <c r="C817" t="s">
        <v>2423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2424</v>
      </c>
      <c r="B818" t="s">
        <v>2425</v>
      </c>
      <c r="C818" t="s">
        <v>2426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2427</v>
      </c>
      <c r="B819" t="s">
        <v>2428</v>
      </c>
      <c r="C819" t="s">
        <v>2429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2430</v>
      </c>
      <c r="B820" t="s">
        <v>2431</v>
      </c>
      <c r="C820" t="s">
        <v>2432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2433</v>
      </c>
      <c r="B821" t="s">
        <v>2434</v>
      </c>
      <c r="C821" t="s">
        <v>2435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2436</v>
      </c>
      <c r="B822" t="s">
        <v>2437</v>
      </c>
      <c r="C822" t="s">
        <v>2438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2439</v>
      </c>
      <c r="B823" t="s">
        <v>2440</v>
      </c>
      <c r="C823" t="s">
        <v>2441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2442</v>
      </c>
      <c r="B824" t="s">
        <v>2440</v>
      </c>
      <c r="C824" t="s">
        <v>2443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2444</v>
      </c>
      <c r="B825" t="s">
        <v>2445</v>
      </c>
      <c r="C825" t="s">
        <v>2446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2447</v>
      </c>
      <c r="B826" t="s">
        <v>2445</v>
      </c>
      <c r="C826" t="s">
        <v>2448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2449</v>
      </c>
      <c r="B827" t="s">
        <v>2450</v>
      </c>
      <c r="C827" t="s">
        <v>2451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2452</v>
      </c>
      <c r="B828" t="s">
        <v>2453</v>
      </c>
      <c r="C828" t="s">
        <v>2454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2455</v>
      </c>
      <c r="B829" t="s">
        <v>2456</v>
      </c>
      <c r="C829" t="s">
        <v>2457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2458</v>
      </c>
      <c r="B830" t="s">
        <v>2459</v>
      </c>
      <c r="C830" t="s">
        <v>2460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2461</v>
      </c>
      <c r="B831" t="s">
        <v>2462</v>
      </c>
      <c r="C831" t="s">
        <v>2463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2464</v>
      </c>
      <c r="B832" t="s">
        <v>2465</v>
      </c>
      <c r="C832" t="s">
        <v>2466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2467</v>
      </c>
      <c r="B833" t="s">
        <v>2468</v>
      </c>
      <c r="C833" t="s">
        <v>2469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2470</v>
      </c>
      <c r="B834" t="s">
        <v>2471</v>
      </c>
      <c r="C834" t="s">
        <v>2472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2473</v>
      </c>
      <c r="B835" t="s">
        <v>2474</v>
      </c>
      <c r="C835" t="s">
        <v>2475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2476</v>
      </c>
      <c r="B836" t="s">
        <v>2477</v>
      </c>
      <c r="C836" t="s">
        <v>2478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2479</v>
      </c>
      <c r="B837" t="s">
        <v>2480</v>
      </c>
      <c r="C837" t="s">
        <v>2481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2482</v>
      </c>
      <c r="B838" t="s">
        <v>2483</v>
      </c>
      <c r="C838" t="s">
        <v>2484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2485</v>
      </c>
      <c r="B839" t="s">
        <v>2486</v>
      </c>
      <c r="C839" t="s">
        <v>2487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2488</v>
      </c>
      <c r="B840" t="s">
        <v>2489</v>
      </c>
      <c r="C840" t="s">
        <v>2490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2491</v>
      </c>
      <c r="B841" t="s">
        <v>2492</v>
      </c>
      <c r="C841" t="s">
        <v>2493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2494</v>
      </c>
      <c r="B842" t="s">
        <v>2495</v>
      </c>
      <c r="C842" t="s">
        <v>2496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2497</v>
      </c>
      <c r="B843" t="s">
        <v>2498</v>
      </c>
      <c r="C843" t="s">
        <v>2499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2500</v>
      </c>
      <c r="B844" t="s">
        <v>2501</v>
      </c>
      <c r="C844" t="s">
        <v>2502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2503</v>
      </c>
      <c r="B845" t="s">
        <v>2504</v>
      </c>
      <c r="C845" t="s">
        <v>2505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2506</v>
      </c>
      <c r="B846" t="s">
        <v>2507</v>
      </c>
      <c r="C846" t="s">
        <v>2508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2509</v>
      </c>
      <c r="B847" t="s">
        <v>2510</v>
      </c>
      <c r="C847" t="s">
        <v>2511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2512</v>
      </c>
      <c r="B848" t="s">
        <v>2513</v>
      </c>
      <c r="C848" t="s">
        <v>2514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2515</v>
      </c>
      <c r="B849" t="s">
        <v>2516</v>
      </c>
      <c r="C849" t="s">
        <v>2517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2518</v>
      </c>
      <c r="B850" t="s">
        <v>2519</v>
      </c>
      <c r="C850" t="s">
        <v>2520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2521</v>
      </c>
      <c r="B851" t="s">
        <v>2522</v>
      </c>
      <c r="C851" t="s">
        <v>2523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2524</v>
      </c>
      <c r="B852" t="s">
        <v>2525</v>
      </c>
      <c r="C852" t="s">
        <v>2526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2527</v>
      </c>
      <c r="B853" t="s">
        <v>2528</v>
      </c>
      <c r="C853" t="s">
        <v>2529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2530</v>
      </c>
      <c r="B854" t="s">
        <v>2531</v>
      </c>
      <c r="C854" t="s">
        <v>2532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2533</v>
      </c>
      <c r="B855" t="s">
        <v>2534</v>
      </c>
      <c r="C855" t="s">
        <v>2535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2536</v>
      </c>
      <c r="B856" t="s">
        <v>2537</v>
      </c>
      <c r="C856" t="s">
        <v>2538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2539</v>
      </c>
      <c r="B857" t="s">
        <v>2540</v>
      </c>
      <c r="C857" t="s">
        <v>2541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2542</v>
      </c>
      <c r="B858" t="s">
        <v>2543</v>
      </c>
      <c r="C858" t="s">
        <v>2544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2545</v>
      </c>
      <c r="B859" t="s">
        <v>2546</v>
      </c>
      <c r="C859" t="s">
        <v>2547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2548</v>
      </c>
      <c r="B860" t="s">
        <v>2549</v>
      </c>
      <c r="C860" t="s">
        <v>2550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2551</v>
      </c>
      <c r="B861" t="s">
        <v>2552</v>
      </c>
      <c r="C861" t="s">
        <v>2553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2554</v>
      </c>
      <c r="B862" t="s">
        <v>2555</v>
      </c>
      <c r="C862" t="s">
        <v>2556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2557</v>
      </c>
      <c r="B863" t="s">
        <v>2558</v>
      </c>
      <c r="C863" t="s">
        <v>2559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2560</v>
      </c>
      <c r="B864" t="s">
        <v>2561</v>
      </c>
      <c r="C864" t="s">
        <v>2562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2563</v>
      </c>
      <c r="B865" t="s">
        <v>2564</v>
      </c>
      <c r="C865" t="s">
        <v>2565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2566</v>
      </c>
      <c r="B866" t="s">
        <v>2567</v>
      </c>
      <c r="C866" t="s">
        <v>2568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2569</v>
      </c>
      <c r="B867" t="s">
        <v>2570</v>
      </c>
      <c r="C867" t="s">
        <v>2571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2572</v>
      </c>
      <c r="B868" t="s">
        <v>2573</v>
      </c>
      <c r="C868" t="s">
        <v>2574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2575</v>
      </c>
      <c r="B869" t="s">
        <v>2576</v>
      </c>
      <c r="C869" t="s">
        <v>2577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2578</v>
      </c>
      <c r="B870" t="s">
        <v>2579</v>
      </c>
      <c r="C870" t="s">
        <v>2580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2581</v>
      </c>
      <c r="B871" t="s">
        <v>2582</v>
      </c>
      <c r="C871" t="s">
        <v>2583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2584</v>
      </c>
      <c r="B872" t="s">
        <v>2585</v>
      </c>
      <c r="C872" t="s">
        <v>2586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2587</v>
      </c>
      <c r="B873" t="s">
        <v>2588</v>
      </c>
      <c r="C873" t="s">
        <v>2589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2590</v>
      </c>
      <c r="B874" t="s">
        <v>2591</v>
      </c>
      <c r="C874" t="s">
        <v>2592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2593</v>
      </c>
      <c r="B875" t="s">
        <v>2594</v>
      </c>
      <c r="C875" t="s">
        <v>2595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2596</v>
      </c>
      <c r="B876" t="s">
        <v>2597</v>
      </c>
      <c r="C876" t="s">
        <v>2598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2599</v>
      </c>
      <c r="B877" t="s">
        <v>2600</v>
      </c>
      <c r="C877" t="s">
        <v>2601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2602</v>
      </c>
      <c r="B878" t="s">
        <v>2603</v>
      </c>
      <c r="C878" t="s">
        <v>2604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2605</v>
      </c>
      <c r="B879" t="s">
        <v>2606</v>
      </c>
      <c r="C879" t="s">
        <v>2607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2608</v>
      </c>
      <c r="B880" t="s">
        <v>2609</v>
      </c>
      <c r="C880" t="s">
        <v>2610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2611</v>
      </c>
      <c r="B881" t="s">
        <v>2612</v>
      </c>
      <c r="C881" t="s">
        <v>2613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2614</v>
      </c>
      <c r="B882" t="s">
        <v>2615</v>
      </c>
      <c r="C882" t="s">
        <v>2616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2617</v>
      </c>
      <c r="B883" t="s">
        <v>2618</v>
      </c>
      <c r="C883" t="s">
        <v>2619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2620</v>
      </c>
      <c r="B884" t="s">
        <v>2621</v>
      </c>
      <c r="C884" t="s">
        <v>2622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2620</v>
      </c>
      <c r="B885" t="s">
        <v>2621</v>
      </c>
      <c r="C885" t="s">
        <v>2623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2624</v>
      </c>
      <c r="B886" t="s">
        <v>2625</v>
      </c>
      <c r="C886" t="s">
        <v>2626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2627</v>
      </c>
      <c r="B887" t="s">
        <v>2628</v>
      </c>
      <c r="C887" t="s">
        <v>2629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2630</v>
      </c>
      <c r="B888" t="s">
        <v>2631</v>
      </c>
      <c r="C888" t="s">
        <v>2632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2633</v>
      </c>
      <c r="B889" t="s">
        <v>2634</v>
      </c>
      <c r="C889" t="s">
        <v>2635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2636</v>
      </c>
      <c r="B890" t="s">
        <v>2637</v>
      </c>
      <c r="C890" t="s">
        <v>2638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2639</v>
      </c>
      <c r="B891" t="s">
        <v>2640</v>
      </c>
      <c r="C891" t="s">
        <v>2641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2642</v>
      </c>
      <c r="B892" t="s">
        <v>2643</v>
      </c>
      <c r="C892" t="s">
        <v>2644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2645</v>
      </c>
      <c r="B893" t="s">
        <v>2646</v>
      </c>
      <c r="C893" t="s">
        <v>2647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2648</v>
      </c>
      <c r="B894" t="s">
        <v>2649</v>
      </c>
      <c r="C894" t="s">
        <v>2650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2651</v>
      </c>
      <c r="B895" t="s">
        <v>2652</v>
      </c>
      <c r="C895" t="s">
        <v>2653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2654</v>
      </c>
      <c r="B896" t="s">
        <v>2655</v>
      </c>
      <c r="C896" t="s">
        <v>2656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2657</v>
      </c>
      <c r="B897" t="s">
        <v>2658</v>
      </c>
      <c r="C897" t="s">
        <v>2659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2660</v>
      </c>
      <c r="B898" t="s">
        <v>2661</v>
      </c>
      <c r="C898" t="s">
        <v>2662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2663</v>
      </c>
      <c r="B899" t="s">
        <v>2664</v>
      </c>
      <c r="C899" t="s">
        <v>2665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2666</v>
      </c>
      <c r="B900" t="s">
        <v>2667</v>
      </c>
      <c r="C900" t="s">
        <v>2668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2669</v>
      </c>
      <c r="B901" t="s">
        <v>2670</v>
      </c>
      <c r="C901" t="s">
        <v>2671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2672</v>
      </c>
      <c r="B902" t="s">
        <v>2673</v>
      </c>
      <c r="C902" t="s">
        <v>2674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2675</v>
      </c>
      <c r="B903" t="s">
        <v>2676</v>
      </c>
      <c r="C903" t="s">
        <v>2677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2678</v>
      </c>
      <c r="B904" t="s">
        <v>2679</v>
      </c>
      <c r="C904" t="s">
        <v>2680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2681</v>
      </c>
      <c r="B905" t="s">
        <v>2682</v>
      </c>
      <c r="C905" t="s">
        <v>2683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2684</v>
      </c>
      <c r="B906" t="s">
        <v>2685</v>
      </c>
      <c r="C906" t="s">
        <v>2686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2687</v>
      </c>
      <c r="B907" t="s">
        <v>2688</v>
      </c>
      <c r="C907" t="s">
        <v>2689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2690</v>
      </c>
      <c r="B908" t="s">
        <v>2691</v>
      </c>
      <c r="C908" t="s">
        <v>2692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2693</v>
      </c>
      <c r="B909" t="s">
        <v>2694</v>
      </c>
      <c r="C909" t="s">
        <v>2695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2696</v>
      </c>
      <c r="B910" t="s">
        <v>2697</v>
      </c>
      <c r="C910" t="s">
        <v>2698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2699</v>
      </c>
      <c r="B911" t="s">
        <v>2700</v>
      </c>
      <c r="C911" t="s">
        <v>2701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2702</v>
      </c>
      <c r="B912" t="s">
        <v>2703</v>
      </c>
      <c r="C912" t="s">
        <v>2704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2705</v>
      </c>
      <c r="B913" t="s">
        <v>2706</v>
      </c>
      <c r="C913" t="s">
        <v>2707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2708</v>
      </c>
      <c r="B914" t="s">
        <v>2709</v>
      </c>
      <c r="C914" t="s">
        <v>2710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2711</v>
      </c>
      <c r="B915" t="s">
        <v>2712</v>
      </c>
      <c r="C915" t="s">
        <v>2713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2714</v>
      </c>
      <c r="B916" t="s">
        <v>2715</v>
      </c>
      <c r="C916" t="s">
        <v>2716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2717</v>
      </c>
      <c r="B917" t="s">
        <v>2718</v>
      </c>
      <c r="C917" t="s">
        <v>2719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2720</v>
      </c>
      <c r="B918" t="s">
        <v>2721</v>
      </c>
      <c r="C918" t="s">
        <v>2722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2723</v>
      </c>
      <c r="B919" t="s">
        <v>2724</v>
      </c>
      <c r="C919" t="s">
        <v>2725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2726</v>
      </c>
      <c r="B920" t="s">
        <v>2727</v>
      </c>
      <c r="C920" t="s">
        <v>2728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2729</v>
      </c>
      <c r="B921" t="s">
        <v>2730</v>
      </c>
      <c r="C921" t="s">
        <v>2731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2732</v>
      </c>
      <c r="B922" t="s">
        <v>2733</v>
      </c>
      <c r="C922" t="s">
        <v>2734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2735</v>
      </c>
      <c r="B923" t="s">
        <v>2736</v>
      </c>
      <c r="C923" t="s">
        <v>2737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2738</v>
      </c>
      <c r="B924" t="s">
        <v>2739</v>
      </c>
      <c r="C924" t="s">
        <v>2740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2741</v>
      </c>
      <c r="B925" t="s">
        <v>2742</v>
      </c>
      <c r="C925" t="s">
        <v>2743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2744</v>
      </c>
      <c r="B926" t="s">
        <v>2745</v>
      </c>
      <c r="C926" t="s">
        <v>2746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2747</v>
      </c>
      <c r="B927" t="s">
        <v>2748</v>
      </c>
      <c r="C927" t="s">
        <v>2749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2750</v>
      </c>
      <c r="B928" t="s">
        <v>2751</v>
      </c>
      <c r="C928" t="s">
        <v>2752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2753</v>
      </c>
      <c r="B929" t="s">
        <v>2754</v>
      </c>
      <c r="C929" t="s">
        <v>2755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2756</v>
      </c>
      <c r="B930" t="s">
        <v>2757</v>
      </c>
      <c r="C930" t="s">
        <v>2758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2759</v>
      </c>
      <c r="B931" t="s">
        <v>2760</v>
      </c>
      <c r="C931" t="s">
        <v>2761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2762</v>
      </c>
      <c r="B932" t="s">
        <v>2763</v>
      </c>
      <c r="C932" t="s">
        <v>2764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2765</v>
      </c>
      <c r="B933" t="s">
        <v>2766</v>
      </c>
      <c r="C933" t="s">
        <v>2767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2768</v>
      </c>
      <c r="B934" t="s">
        <v>2769</v>
      </c>
      <c r="C934" t="s">
        <v>2770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2771</v>
      </c>
      <c r="B935" t="s">
        <v>2772</v>
      </c>
      <c r="C935" t="s">
        <v>2773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2774</v>
      </c>
      <c r="B936" t="s">
        <v>2775</v>
      </c>
      <c r="C936" t="s">
        <v>2776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2777</v>
      </c>
      <c r="B937" t="s">
        <v>2778</v>
      </c>
      <c r="C937" t="s">
        <v>2779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2780</v>
      </c>
      <c r="B938" t="s">
        <v>2781</v>
      </c>
      <c r="C938" t="s">
        <v>2782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2783</v>
      </c>
      <c r="B939" t="s">
        <v>2784</v>
      </c>
      <c r="C939" t="s">
        <v>2785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2786</v>
      </c>
      <c r="B940" t="s">
        <v>2787</v>
      </c>
      <c r="C940" t="s">
        <v>2788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2789</v>
      </c>
      <c r="B941" t="s">
        <v>2790</v>
      </c>
      <c r="C941" t="s">
        <v>2791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2792</v>
      </c>
      <c r="B942" t="s">
        <v>2793</v>
      </c>
      <c r="C942" t="s">
        <v>2794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2795</v>
      </c>
      <c r="B943" t="s">
        <v>2796</v>
      </c>
      <c r="C943" t="s">
        <v>2797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2798</v>
      </c>
      <c r="B944" t="s">
        <v>2799</v>
      </c>
      <c r="C944" t="s">
        <v>2800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2801</v>
      </c>
      <c r="B945" t="s">
        <v>2802</v>
      </c>
      <c r="C945" t="s">
        <v>2803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2804</v>
      </c>
      <c r="B946" t="s">
        <v>2805</v>
      </c>
      <c r="C946" t="s">
        <v>2806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2807</v>
      </c>
      <c r="B947" t="s">
        <v>2808</v>
      </c>
      <c r="C947" t="s">
        <v>2809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2810</v>
      </c>
      <c r="B948" t="s">
        <v>2811</v>
      </c>
      <c r="C948" t="s">
        <v>2812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2813</v>
      </c>
      <c r="B949" t="s">
        <v>2814</v>
      </c>
      <c r="C949" t="s">
        <v>2815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2816</v>
      </c>
      <c r="B950" t="s">
        <v>2817</v>
      </c>
      <c r="C950" t="s">
        <v>2818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2819</v>
      </c>
      <c r="B951" t="s">
        <v>2820</v>
      </c>
      <c r="C951" t="s">
        <v>2821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2822</v>
      </c>
      <c r="B952" t="s">
        <v>2823</v>
      </c>
      <c r="C952" t="s">
        <v>2824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2825</v>
      </c>
      <c r="B953" t="s">
        <v>2826</v>
      </c>
      <c r="C953" t="s">
        <v>2827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2828</v>
      </c>
      <c r="B954" t="s">
        <v>2829</v>
      </c>
      <c r="C954" t="s">
        <v>2830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2831</v>
      </c>
      <c r="B955" t="s">
        <v>2832</v>
      </c>
      <c r="C955" t="s">
        <v>2833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2834</v>
      </c>
      <c r="B956" t="s">
        <v>2835</v>
      </c>
      <c r="C956" t="s">
        <v>2836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2837</v>
      </c>
      <c r="B957" t="s">
        <v>2838</v>
      </c>
      <c r="C957" t="s">
        <v>2839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2840</v>
      </c>
      <c r="B958" t="s">
        <v>2841</v>
      </c>
      <c r="C958" t="s">
        <v>2842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2843</v>
      </c>
      <c r="B959" t="s">
        <v>2844</v>
      </c>
      <c r="C959" t="s">
        <v>2845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2846</v>
      </c>
      <c r="B960" t="s">
        <v>2847</v>
      </c>
      <c r="C960" t="s">
        <v>2848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2849</v>
      </c>
      <c r="B961" t="s">
        <v>2850</v>
      </c>
      <c r="C961" t="s">
        <v>2851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2852</v>
      </c>
      <c r="B962" t="s">
        <v>2853</v>
      </c>
      <c r="C962" t="s">
        <v>2854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2855</v>
      </c>
      <c r="B963" t="s">
        <v>2856</v>
      </c>
      <c r="C963" t="s">
        <v>2857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2858</v>
      </c>
      <c r="B964" t="s">
        <v>2859</v>
      </c>
      <c r="C964" t="s">
        <v>2860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2861</v>
      </c>
      <c r="B965" t="s">
        <v>2862</v>
      </c>
      <c r="C965" t="s">
        <v>2863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2864</v>
      </c>
      <c r="B966" t="s">
        <v>2865</v>
      </c>
      <c r="C966" t="s">
        <v>2866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2867</v>
      </c>
      <c r="B967" t="s">
        <v>2868</v>
      </c>
      <c r="C967" t="s">
        <v>2869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2870</v>
      </c>
      <c r="B968" t="s">
        <v>2871</v>
      </c>
      <c r="C968" t="s">
        <v>2872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2873</v>
      </c>
      <c r="B969" t="s">
        <v>2874</v>
      </c>
      <c r="C969" t="s">
        <v>2875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2876</v>
      </c>
      <c r="B970" t="s">
        <v>2877</v>
      </c>
      <c r="C970" t="s">
        <v>2878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2879</v>
      </c>
      <c r="B971" t="s">
        <v>2880</v>
      </c>
      <c r="C971" t="s">
        <v>2881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2882</v>
      </c>
      <c r="B972" t="s">
        <v>2883</v>
      </c>
      <c r="C972" t="s">
        <v>2884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2885</v>
      </c>
      <c r="B973" t="s">
        <v>2886</v>
      </c>
      <c r="C973" t="s">
        <v>2887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2888</v>
      </c>
      <c r="B974" t="s">
        <v>2889</v>
      </c>
      <c r="C974" t="s">
        <v>2890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2891</v>
      </c>
      <c r="B975" t="s">
        <v>2892</v>
      </c>
      <c r="C975" t="s">
        <v>2893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2894</v>
      </c>
      <c r="B976" t="s">
        <v>2895</v>
      </c>
      <c r="C976" t="s">
        <v>2896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2897</v>
      </c>
      <c r="B977" t="s">
        <v>2898</v>
      </c>
      <c r="C977" t="s">
        <v>2899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2900</v>
      </c>
      <c r="B978" t="s">
        <v>2901</v>
      </c>
      <c r="C978" t="s">
        <v>2902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2903</v>
      </c>
      <c r="B979" t="s">
        <v>2904</v>
      </c>
      <c r="C979" t="s">
        <v>2905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2906</v>
      </c>
      <c r="B980" t="s">
        <v>2907</v>
      </c>
      <c r="C980" t="s">
        <v>2908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2909</v>
      </c>
      <c r="B981" t="s">
        <v>2910</v>
      </c>
      <c r="C981" t="s">
        <v>2911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2912</v>
      </c>
      <c r="B982" t="s">
        <v>2913</v>
      </c>
      <c r="C982" t="s">
        <v>2914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2915</v>
      </c>
      <c r="B983" t="s">
        <v>2916</v>
      </c>
      <c r="C983" t="s">
        <v>2917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2918</v>
      </c>
      <c r="B984" t="s">
        <v>2919</v>
      </c>
      <c r="C984" t="s">
        <v>2920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2921</v>
      </c>
      <c r="B985" t="s">
        <v>2922</v>
      </c>
      <c r="C985" t="s">
        <v>2923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2924</v>
      </c>
      <c r="B986" t="s">
        <v>2925</v>
      </c>
      <c r="C986" t="s">
        <v>2926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2927</v>
      </c>
      <c r="B987" t="s">
        <v>2928</v>
      </c>
      <c r="C987" t="s">
        <v>2929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2930</v>
      </c>
      <c r="B988" t="s">
        <v>2931</v>
      </c>
      <c r="C988" t="s">
        <v>2932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2933</v>
      </c>
      <c r="B989" t="s">
        <v>2934</v>
      </c>
      <c r="C989" t="s">
        <v>2935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2936</v>
      </c>
      <c r="B990" t="s">
        <v>2937</v>
      </c>
      <c r="C990" t="s">
        <v>2938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2939</v>
      </c>
      <c r="B991" t="s">
        <v>2940</v>
      </c>
      <c r="C991" t="s">
        <v>2941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2942</v>
      </c>
      <c r="B992" t="s">
        <v>2943</v>
      </c>
      <c r="C992" t="s">
        <v>2944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2945</v>
      </c>
      <c r="B993" t="s">
        <v>2946</v>
      </c>
      <c r="C993" t="s">
        <v>2947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2948</v>
      </c>
      <c r="B994" t="s">
        <v>2949</v>
      </c>
      <c r="C994" t="s">
        <v>2950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2951</v>
      </c>
      <c r="B995" t="s">
        <v>2952</v>
      </c>
      <c r="C995" t="s">
        <v>2953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2954</v>
      </c>
      <c r="B996" t="s">
        <v>2955</v>
      </c>
      <c r="C996" t="s">
        <v>2956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2957</v>
      </c>
      <c r="B997" t="s">
        <v>2958</v>
      </c>
      <c r="C997" t="s">
        <v>2959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2960</v>
      </c>
      <c r="B998" t="s">
        <v>2961</v>
      </c>
      <c r="C998" t="s">
        <v>2962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2963</v>
      </c>
      <c r="B999" t="s">
        <v>2964</v>
      </c>
      <c r="C999" t="s">
        <v>2965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2966</v>
      </c>
      <c r="B1000" t="s">
        <v>2967</v>
      </c>
      <c r="C1000" t="s">
        <v>2968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2969</v>
      </c>
      <c r="B1001" t="s">
        <v>2970</v>
      </c>
      <c r="C1001" t="s">
        <v>2971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2972</v>
      </c>
      <c r="B1002" t="s">
        <v>2973</v>
      </c>
      <c r="C1002" t="s">
        <v>2974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2975</v>
      </c>
      <c r="B1003" t="s">
        <v>2976</v>
      </c>
      <c r="C1003" t="s">
        <v>2977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2978</v>
      </c>
      <c r="B1004" t="s">
        <v>2979</v>
      </c>
      <c r="C1004" t="s">
        <v>2980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2981</v>
      </c>
      <c r="B1005" t="s">
        <v>2982</v>
      </c>
      <c r="C1005" t="s">
        <v>2983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2984</v>
      </c>
      <c r="B1006" t="s">
        <v>2985</v>
      </c>
      <c r="C1006" t="s">
        <v>2986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2987</v>
      </c>
      <c r="B1007" t="s">
        <v>2988</v>
      </c>
      <c r="C1007" t="s">
        <v>2989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2990</v>
      </c>
      <c r="B1008" t="s">
        <v>2991</v>
      </c>
      <c r="C1008" t="s">
        <v>2992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2993</v>
      </c>
      <c r="B1009" t="s">
        <v>2994</v>
      </c>
      <c r="C1009" t="s">
        <v>2995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2996</v>
      </c>
      <c r="B1010" t="s">
        <v>2997</v>
      </c>
      <c r="C1010" t="s">
        <v>2998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2999</v>
      </c>
      <c r="B1011" t="s">
        <v>3000</v>
      </c>
      <c r="C1011" t="s">
        <v>3001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3002</v>
      </c>
      <c r="B1012" t="s">
        <v>3003</v>
      </c>
      <c r="C1012" t="s">
        <v>3004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3005</v>
      </c>
      <c r="B1013" t="s">
        <v>3006</v>
      </c>
      <c r="C1013" t="s">
        <v>3007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3008</v>
      </c>
      <c r="B1014" t="s">
        <v>3009</v>
      </c>
      <c r="C1014" t="s">
        <v>3010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3011</v>
      </c>
      <c r="B1015" t="s">
        <v>3012</v>
      </c>
      <c r="C1015" t="s">
        <v>3013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3014</v>
      </c>
      <c r="B1016" t="s">
        <v>3015</v>
      </c>
      <c r="C1016" t="s">
        <v>3016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3017</v>
      </c>
      <c r="B1017" t="s">
        <v>3018</v>
      </c>
      <c r="C1017" t="s">
        <v>3019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3020</v>
      </c>
      <c r="B1018" t="s">
        <v>3021</v>
      </c>
      <c r="C1018" t="s">
        <v>3022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3023</v>
      </c>
      <c r="B1019" t="s">
        <v>3024</v>
      </c>
      <c r="C1019" t="s">
        <v>3025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3026</v>
      </c>
      <c r="B1020" t="s">
        <v>3027</v>
      </c>
      <c r="C1020" t="s">
        <v>3028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3029</v>
      </c>
      <c r="B1021" t="s">
        <v>3030</v>
      </c>
      <c r="C1021" t="s">
        <v>3031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3032</v>
      </c>
      <c r="B1022" t="s">
        <v>3033</v>
      </c>
      <c r="C1022" t="s">
        <v>3034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3035</v>
      </c>
      <c r="B1023" t="s">
        <v>3036</v>
      </c>
      <c r="C1023" t="s">
        <v>3037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3038</v>
      </c>
      <c r="B1024" t="s">
        <v>3039</v>
      </c>
      <c r="C1024" t="s">
        <v>3040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3041</v>
      </c>
      <c r="B1025" t="s">
        <v>3042</v>
      </c>
      <c r="C1025" t="s">
        <v>3043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3044</v>
      </c>
      <c r="B1026" t="s">
        <v>3045</v>
      </c>
      <c r="C1026" t="s">
        <v>3046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3047</v>
      </c>
      <c r="B1027" t="s">
        <v>3048</v>
      </c>
      <c r="C1027" t="s">
        <v>3049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3050</v>
      </c>
      <c r="B1028" t="s">
        <v>3051</v>
      </c>
      <c r="C1028" t="s">
        <v>3052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3053</v>
      </c>
      <c r="B1029" t="s">
        <v>3051</v>
      </c>
      <c r="C1029" t="s">
        <v>3054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3055</v>
      </c>
      <c r="B1030" t="s">
        <v>3056</v>
      </c>
      <c r="C1030" t="s">
        <v>3057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3058</v>
      </c>
      <c r="B1031" t="s">
        <v>3059</v>
      </c>
      <c r="C1031" t="s">
        <v>3060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3061</v>
      </c>
      <c r="B1032" t="s">
        <v>3062</v>
      </c>
      <c r="C1032" t="s">
        <v>3063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3064</v>
      </c>
      <c r="B1033" t="s">
        <v>3065</v>
      </c>
      <c r="C1033" t="s">
        <v>3066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3067</v>
      </c>
      <c r="B1034" t="s">
        <v>3068</v>
      </c>
      <c r="C1034" t="s">
        <v>3069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3070</v>
      </c>
      <c r="B1035" t="s">
        <v>3071</v>
      </c>
      <c r="C1035" t="s">
        <v>3072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3073</v>
      </c>
      <c r="B1036" t="s">
        <v>3074</v>
      </c>
      <c r="C1036" t="s">
        <v>3075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3076</v>
      </c>
      <c r="B1037" t="s">
        <v>3077</v>
      </c>
      <c r="C1037" t="s">
        <v>3078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3079</v>
      </c>
      <c r="B1038" t="s">
        <v>3080</v>
      </c>
      <c r="C1038" t="s">
        <v>3081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3082</v>
      </c>
      <c r="B1039" t="s">
        <v>3083</v>
      </c>
      <c r="C1039" t="s">
        <v>3084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3085</v>
      </c>
      <c r="B1040" t="s">
        <v>3086</v>
      </c>
      <c r="C1040" t="s">
        <v>3087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3088</v>
      </c>
      <c r="B1041" t="s">
        <v>3089</v>
      </c>
      <c r="C1041" t="s">
        <v>3090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3091</v>
      </c>
      <c r="B1042" t="s">
        <v>3092</v>
      </c>
      <c r="C1042" t="s">
        <v>3093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3094</v>
      </c>
      <c r="B1043" t="s">
        <v>3095</v>
      </c>
      <c r="C1043" t="s">
        <v>3096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3097</v>
      </c>
      <c r="B1044" t="s">
        <v>3098</v>
      </c>
      <c r="C1044" t="s">
        <v>3099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3100</v>
      </c>
      <c r="B1045" t="s">
        <v>3101</v>
      </c>
      <c r="C1045" t="s">
        <v>3102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3103</v>
      </c>
      <c r="B1046" t="s">
        <v>3104</v>
      </c>
      <c r="C1046" t="s">
        <v>3105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3106</v>
      </c>
      <c r="B1047" t="s">
        <v>3107</v>
      </c>
      <c r="C1047" t="s">
        <v>3108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3109</v>
      </c>
      <c r="B1048" t="s">
        <v>3110</v>
      </c>
      <c r="C1048" t="s">
        <v>3111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3112</v>
      </c>
      <c r="B1049" t="s">
        <v>3113</v>
      </c>
      <c r="C1049" t="s">
        <v>3114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3115</v>
      </c>
      <c r="B1050" t="s">
        <v>3116</v>
      </c>
      <c r="C1050" t="s">
        <v>3117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3118</v>
      </c>
      <c r="B1051" t="s">
        <v>3119</v>
      </c>
      <c r="C1051" t="s">
        <v>3120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3121</v>
      </c>
      <c r="B1052" t="s">
        <v>3119</v>
      </c>
      <c r="C1052" t="s">
        <v>3122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3123</v>
      </c>
      <c r="B1053" t="s">
        <v>3124</v>
      </c>
      <c r="C1053" t="s">
        <v>3125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3126</v>
      </c>
      <c r="B1054" t="s">
        <v>3127</v>
      </c>
      <c r="C1054" t="s">
        <v>3128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3129</v>
      </c>
      <c r="B1055" t="s">
        <v>3130</v>
      </c>
      <c r="C1055" t="s">
        <v>3131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3132</v>
      </c>
      <c r="B1056" t="s">
        <v>3133</v>
      </c>
      <c r="C1056" t="s">
        <v>3134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3135</v>
      </c>
      <c r="B1057" t="s">
        <v>3136</v>
      </c>
      <c r="C1057" t="s">
        <v>3137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3138</v>
      </c>
      <c r="B1058" t="s">
        <v>3139</v>
      </c>
      <c r="C1058" t="s">
        <v>3140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3141</v>
      </c>
      <c r="B1059" t="s">
        <v>3142</v>
      </c>
      <c r="C1059" t="s">
        <v>3143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3144</v>
      </c>
      <c r="B1060" t="s">
        <v>3145</v>
      </c>
      <c r="C1060" t="s">
        <v>3146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3147</v>
      </c>
      <c r="B1061" t="s">
        <v>3148</v>
      </c>
      <c r="C1061" t="s">
        <v>3149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3150</v>
      </c>
      <c r="B1062" t="s">
        <v>3151</v>
      </c>
      <c r="C1062" t="s">
        <v>3152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3153</v>
      </c>
      <c r="B1063" t="s">
        <v>3154</v>
      </c>
      <c r="C1063" t="s">
        <v>3155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3156</v>
      </c>
      <c r="B1064" t="s">
        <v>3157</v>
      </c>
      <c r="C1064" t="s">
        <v>3158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3159</v>
      </c>
      <c r="B1065" t="s">
        <v>3160</v>
      </c>
      <c r="C1065" t="s">
        <v>3161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3162</v>
      </c>
      <c r="B1066" t="s">
        <v>3163</v>
      </c>
      <c r="C1066" t="s">
        <v>3164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3165</v>
      </c>
      <c r="B1067" t="s">
        <v>3166</v>
      </c>
      <c r="C1067" t="s">
        <v>3167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3168</v>
      </c>
      <c r="B1068" t="s">
        <v>3169</v>
      </c>
      <c r="C1068" t="s">
        <v>3170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3171</v>
      </c>
      <c r="B1069" t="s">
        <v>3172</v>
      </c>
      <c r="C1069" t="s">
        <v>3173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3174</v>
      </c>
      <c r="B1070" t="s">
        <v>3175</v>
      </c>
      <c r="C1070" t="s">
        <v>3176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3177</v>
      </c>
      <c r="B1071" t="s">
        <v>3178</v>
      </c>
      <c r="C1071" t="s">
        <v>3179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3180</v>
      </c>
      <c r="B1072" t="s">
        <v>3181</v>
      </c>
      <c r="C1072" t="s">
        <v>3182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3183</v>
      </c>
      <c r="B1073" t="s">
        <v>3184</v>
      </c>
      <c r="C1073" t="s">
        <v>3185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3186</v>
      </c>
      <c r="B1074" t="s">
        <v>3187</v>
      </c>
      <c r="C1074" t="s">
        <v>3188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3189</v>
      </c>
      <c r="B1075" t="s">
        <v>3190</v>
      </c>
      <c r="C1075" t="s">
        <v>3191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3192</v>
      </c>
      <c r="B1076" t="s">
        <v>3193</v>
      </c>
      <c r="C1076" t="s">
        <v>3194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3195</v>
      </c>
      <c r="B1077" t="s">
        <v>3196</v>
      </c>
      <c r="C1077" t="s">
        <v>3197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3198</v>
      </c>
      <c r="B1078" t="s">
        <v>3199</v>
      </c>
      <c r="C1078" t="s">
        <v>3200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3201</v>
      </c>
      <c r="B1079" t="s">
        <v>3202</v>
      </c>
      <c r="C1079" t="s">
        <v>3203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3204</v>
      </c>
      <c r="B1080" t="s">
        <v>3205</v>
      </c>
      <c r="C1080" t="s">
        <v>3206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3207</v>
      </c>
      <c r="B1081" t="s">
        <v>3208</v>
      </c>
      <c r="C1081" t="s">
        <v>3209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3210</v>
      </c>
      <c r="B1082" t="s">
        <v>3211</v>
      </c>
      <c r="C1082" t="s">
        <v>3212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3213</v>
      </c>
      <c r="B1083" t="s">
        <v>3214</v>
      </c>
      <c r="C1083" t="s">
        <v>3215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3216</v>
      </c>
      <c r="B1084" t="s">
        <v>3217</v>
      </c>
      <c r="C1084" t="s">
        <v>3218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3219</v>
      </c>
      <c r="B1085" t="s">
        <v>3220</v>
      </c>
      <c r="C1085" t="s">
        <v>3221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3222</v>
      </c>
      <c r="B1086" t="s">
        <v>3223</v>
      </c>
      <c r="C1086" t="s">
        <v>3224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3225</v>
      </c>
      <c r="B1087" t="s">
        <v>3226</v>
      </c>
      <c r="C1087" t="s">
        <v>3227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3228</v>
      </c>
      <c r="B1088" t="s">
        <v>3229</v>
      </c>
      <c r="C1088" t="s">
        <v>3230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3231</v>
      </c>
      <c r="B1089" t="s">
        <v>3232</v>
      </c>
      <c r="C1089" t="s">
        <v>3233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3234</v>
      </c>
      <c r="B1090" t="s">
        <v>3235</v>
      </c>
      <c r="C1090" t="s">
        <v>3236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3237</v>
      </c>
      <c r="B1091" t="s">
        <v>3238</v>
      </c>
      <c r="C1091" t="s">
        <v>3239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3240</v>
      </c>
      <c r="B1092" t="s">
        <v>3241</v>
      </c>
      <c r="C1092" t="s">
        <v>3242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3243</v>
      </c>
      <c r="B1093" t="s">
        <v>3244</v>
      </c>
      <c r="C1093" t="s">
        <v>3245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3246</v>
      </c>
      <c r="B1094" t="s">
        <v>3247</v>
      </c>
      <c r="C1094" t="s">
        <v>3248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3249</v>
      </c>
      <c r="B1095" t="s">
        <v>3247</v>
      </c>
      <c r="C1095" t="s">
        <v>3250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3251</v>
      </c>
      <c r="B1096" t="s">
        <v>3252</v>
      </c>
      <c r="C1096" t="s">
        <v>3253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3254</v>
      </c>
      <c r="B1097" t="s">
        <v>3255</v>
      </c>
      <c r="C1097" t="s">
        <v>3256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3257</v>
      </c>
      <c r="B1098" t="s">
        <v>3258</v>
      </c>
      <c r="C1098" t="s">
        <v>3259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3260</v>
      </c>
      <c r="B1099" t="s">
        <v>3261</v>
      </c>
      <c r="C1099" t="s">
        <v>3262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3263</v>
      </c>
      <c r="B1100" t="s">
        <v>3264</v>
      </c>
      <c r="C1100" t="s">
        <v>3265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3266</v>
      </c>
      <c r="B1101" t="s">
        <v>3267</v>
      </c>
      <c r="C1101" t="s">
        <v>3268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3269</v>
      </c>
      <c r="B1102" t="s">
        <v>3270</v>
      </c>
      <c r="C1102" t="s">
        <v>3271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3272</v>
      </c>
      <c r="B1103" t="s">
        <v>3273</v>
      </c>
      <c r="C1103" t="s">
        <v>3274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3275</v>
      </c>
      <c r="B1104" t="s">
        <v>3276</v>
      </c>
      <c r="C1104" t="s">
        <v>3277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3278</v>
      </c>
      <c r="B1105" t="s">
        <v>3279</v>
      </c>
      <c r="C1105" t="s">
        <v>3280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3281</v>
      </c>
      <c r="B1106" t="s">
        <v>3282</v>
      </c>
      <c r="C1106" t="s">
        <v>3283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3284</v>
      </c>
      <c r="B1107" t="s">
        <v>3285</v>
      </c>
      <c r="C1107" t="s">
        <v>3286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3287</v>
      </c>
      <c r="B1108" t="s">
        <v>3285</v>
      </c>
      <c r="C1108" t="s">
        <v>3288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3289</v>
      </c>
      <c r="B1109" t="s">
        <v>3290</v>
      </c>
      <c r="C1109" t="s">
        <v>3291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3292</v>
      </c>
      <c r="B1110" t="s">
        <v>3293</v>
      </c>
      <c r="C1110" t="s">
        <v>3294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3295</v>
      </c>
      <c r="B1111" t="s">
        <v>3296</v>
      </c>
      <c r="C1111" t="s">
        <v>3297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3298</v>
      </c>
      <c r="B1112" t="s">
        <v>3299</v>
      </c>
      <c r="C1112" t="s">
        <v>3300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3301</v>
      </c>
      <c r="B1113" t="s">
        <v>3302</v>
      </c>
      <c r="C1113" t="s">
        <v>3303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3304</v>
      </c>
      <c r="B1114" t="s">
        <v>3305</v>
      </c>
      <c r="C1114" t="s">
        <v>3306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3307</v>
      </c>
      <c r="B1115" t="s">
        <v>3308</v>
      </c>
      <c r="C1115" t="s">
        <v>3309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3310</v>
      </c>
      <c r="B1116" t="s">
        <v>3311</v>
      </c>
      <c r="C1116" t="s">
        <v>3312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3313</v>
      </c>
      <c r="B1117" t="s">
        <v>3314</v>
      </c>
      <c r="C1117" t="s">
        <v>3315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3316</v>
      </c>
      <c r="B1118" t="s">
        <v>3317</v>
      </c>
      <c r="C1118" t="s">
        <v>3318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3319</v>
      </c>
      <c r="B1119" t="s">
        <v>3320</v>
      </c>
      <c r="C1119" t="s">
        <v>3321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3322</v>
      </c>
      <c r="B1120" t="s">
        <v>3323</v>
      </c>
      <c r="C1120" t="s">
        <v>3324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3325</v>
      </c>
      <c r="B1121" t="s">
        <v>3326</v>
      </c>
      <c r="C1121" t="s">
        <v>3327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3328</v>
      </c>
      <c r="B1122" t="s">
        <v>3329</v>
      </c>
      <c r="C1122" t="s">
        <v>3330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3331</v>
      </c>
      <c r="B1123" t="s">
        <v>3332</v>
      </c>
      <c r="C1123" t="s">
        <v>3333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3334</v>
      </c>
      <c r="B1124" t="s">
        <v>3335</v>
      </c>
      <c r="C1124" t="s">
        <v>3336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3337</v>
      </c>
      <c r="B1125" t="s">
        <v>3338</v>
      </c>
      <c r="C1125" t="s">
        <v>3339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3340</v>
      </c>
      <c r="B1126" t="s">
        <v>3341</v>
      </c>
      <c r="C1126" t="s">
        <v>3342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3343</v>
      </c>
      <c r="B1127" t="s">
        <v>3344</v>
      </c>
      <c r="C1127" t="s">
        <v>3345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3346</v>
      </c>
      <c r="B1128" t="s">
        <v>3347</v>
      </c>
      <c r="C1128" t="s">
        <v>3348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3349</v>
      </c>
      <c r="B1129" t="s">
        <v>3350</v>
      </c>
      <c r="C1129" t="s">
        <v>3351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3352</v>
      </c>
      <c r="B1130" t="s">
        <v>3353</v>
      </c>
      <c r="C1130" t="s">
        <v>3354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3355</v>
      </c>
      <c r="B1131" t="s">
        <v>3356</v>
      </c>
      <c r="C1131" t="s">
        <v>3357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3358</v>
      </c>
      <c r="B1132" t="s">
        <v>3359</v>
      </c>
      <c r="C1132" t="s">
        <v>3360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3361</v>
      </c>
      <c r="B1133" t="s">
        <v>3362</v>
      </c>
      <c r="C1133" t="s">
        <v>3363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3364</v>
      </c>
      <c r="B1134" t="s">
        <v>3365</v>
      </c>
      <c r="C1134" t="s">
        <v>3366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3367</v>
      </c>
      <c r="B1135" t="s">
        <v>3368</v>
      </c>
      <c r="C1135" t="s">
        <v>3369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3370</v>
      </c>
      <c r="B1136" t="s">
        <v>3371</v>
      </c>
      <c r="C1136" t="s">
        <v>3372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3373</v>
      </c>
      <c r="B1137" t="s">
        <v>3374</v>
      </c>
      <c r="C1137" t="s">
        <v>3375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3376</v>
      </c>
      <c r="B1138" t="s">
        <v>3377</v>
      </c>
      <c r="C1138" t="s">
        <v>3378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3379</v>
      </c>
      <c r="B1139" t="s">
        <v>3380</v>
      </c>
      <c r="C1139" t="s">
        <v>3381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3382</v>
      </c>
      <c r="B1140" t="s">
        <v>3383</v>
      </c>
      <c r="C1140" t="s">
        <v>3384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3385</v>
      </c>
      <c r="B1141" t="s">
        <v>3386</v>
      </c>
      <c r="C1141" t="s">
        <v>3387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3388</v>
      </c>
      <c r="B1142" t="s">
        <v>3389</v>
      </c>
      <c r="C1142" t="s">
        <v>3390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3391</v>
      </c>
      <c r="B1143" t="s">
        <v>3392</v>
      </c>
      <c r="C1143" t="s">
        <v>3393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3394</v>
      </c>
      <c r="B1144" t="s">
        <v>3395</v>
      </c>
      <c r="C1144" t="s">
        <v>3396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3397</v>
      </c>
      <c r="B1145" t="s">
        <v>3398</v>
      </c>
      <c r="C1145" t="s">
        <v>3399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3400</v>
      </c>
      <c r="B1146" t="s">
        <v>3401</v>
      </c>
      <c r="C1146" t="s">
        <v>3402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3403</v>
      </c>
      <c r="B1147" t="s">
        <v>3404</v>
      </c>
      <c r="C1147" t="s">
        <v>3405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3406</v>
      </c>
      <c r="B1148" t="s">
        <v>3407</v>
      </c>
      <c r="C1148" t="s">
        <v>3408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3409</v>
      </c>
      <c r="B1149" t="s">
        <v>3410</v>
      </c>
      <c r="C1149" t="s">
        <v>3411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3412</v>
      </c>
      <c r="B1150" t="s">
        <v>3413</v>
      </c>
      <c r="C1150" t="s">
        <v>3414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3415</v>
      </c>
      <c r="B1151" t="s">
        <v>3416</v>
      </c>
      <c r="C1151" t="s">
        <v>3417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3418</v>
      </c>
      <c r="B1152" t="s">
        <v>3419</v>
      </c>
      <c r="C1152" t="s">
        <v>3420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3421</v>
      </c>
      <c r="B1153" t="s">
        <v>3422</v>
      </c>
      <c r="C1153" t="s">
        <v>3423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3424</v>
      </c>
      <c r="B1154" t="s">
        <v>3425</v>
      </c>
      <c r="C1154" t="s">
        <v>3426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3427</v>
      </c>
      <c r="B1155" t="s">
        <v>3428</v>
      </c>
      <c r="C1155" t="s">
        <v>3429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3430</v>
      </c>
      <c r="B1156" t="s">
        <v>3431</v>
      </c>
      <c r="C1156" t="s">
        <v>3432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3433</v>
      </c>
      <c r="B1157" t="s">
        <v>3434</v>
      </c>
      <c r="C1157" t="s">
        <v>3435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3436</v>
      </c>
      <c r="B1158" t="s">
        <v>3437</v>
      </c>
      <c r="C1158" t="s">
        <v>3438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3439</v>
      </c>
      <c r="B1159" t="s">
        <v>3440</v>
      </c>
      <c r="C1159" t="s">
        <v>3441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3442</v>
      </c>
      <c r="B1160" t="s">
        <v>3443</v>
      </c>
      <c r="C1160" t="s">
        <v>3444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3445</v>
      </c>
      <c r="B1161" t="s">
        <v>3446</v>
      </c>
      <c r="C1161" t="s">
        <v>3447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3448</v>
      </c>
      <c r="B1162" t="s">
        <v>3449</v>
      </c>
      <c r="C1162" t="s">
        <v>3450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3451</v>
      </c>
      <c r="B1163" t="s">
        <v>3452</v>
      </c>
      <c r="C1163" t="s">
        <v>3453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3454</v>
      </c>
      <c r="B1164" t="s">
        <v>3455</v>
      </c>
      <c r="C1164" t="s">
        <v>3456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3457</v>
      </c>
      <c r="B1165" t="s">
        <v>3458</v>
      </c>
      <c r="C1165" t="s">
        <v>3459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3460</v>
      </c>
      <c r="B1166" t="s">
        <v>3461</v>
      </c>
      <c r="C1166" t="s">
        <v>3462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3463</v>
      </c>
      <c r="B1167" t="s">
        <v>3464</v>
      </c>
      <c r="C1167" t="s">
        <v>3465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3466</v>
      </c>
      <c r="B1168" t="s">
        <v>3467</v>
      </c>
      <c r="C1168" t="s">
        <v>3468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3469</v>
      </c>
      <c r="B1169" t="s">
        <v>3470</v>
      </c>
      <c r="C1169" t="s">
        <v>3471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3472</v>
      </c>
      <c r="B1170" t="s">
        <v>3473</v>
      </c>
      <c r="C1170" t="s">
        <v>3474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3475</v>
      </c>
      <c r="B1171" t="s">
        <v>3476</v>
      </c>
      <c r="C1171" t="s">
        <v>3477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3478</v>
      </c>
      <c r="B1172" t="s">
        <v>3479</v>
      </c>
      <c r="C1172" t="s">
        <v>3480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3481</v>
      </c>
      <c r="B1173" t="s">
        <v>3482</v>
      </c>
      <c r="C1173" t="s">
        <v>3483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3484</v>
      </c>
      <c r="B1174" t="s">
        <v>3485</v>
      </c>
      <c r="C1174" t="s">
        <v>3486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3487</v>
      </c>
      <c r="B1175" t="s">
        <v>3488</v>
      </c>
      <c r="C1175" t="s">
        <v>3489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3490</v>
      </c>
      <c r="B1176" t="s">
        <v>3491</v>
      </c>
      <c r="C1176" t="s">
        <v>3492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3493</v>
      </c>
      <c r="B1177" t="s">
        <v>3494</v>
      </c>
      <c r="C1177" t="s">
        <v>3495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3496</v>
      </c>
      <c r="B1178" t="s">
        <v>3497</v>
      </c>
      <c r="C1178" t="s">
        <v>3498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3499</v>
      </c>
      <c r="B1179" t="s">
        <v>3500</v>
      </c>
      <c r="C1179" t="s">
        <v>3501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3502</v>
      </c>
      <c r="B1180" t="s">
        <v>3503</v>
      </c>
      <c r="C1180" t="s">
        <v>3504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3505</v>
      </c>
      <c r="B1181" t="s">
        <v>3506</v>
      </c>
      <c r="C1181" t="s">
        <v>3507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3508</v>
      </c>
      <c r="B1182" t="s">
        <v>3509</v>
      </c>
      <c r="C1182" t="s">
        <v>3510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3511</v>
      </c>
      <c r="B1183" t="s">
        <v>3512</v>
      </c>
      <c r="C1183" t="s">
        <v>3513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3514</v>
      </c>
      <c r="B1184" t="s">
        <v>3515</v>
      </c>
      <c r="C1184" t="s">
        <v>3516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3517</v>
      </c>
      <c r="B1185" t="s">
        <v>3518</v>
      </c>
      <c r="C1185" t="s">
        <v>3519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3520</v>
      </c>
      <c r="B1186" t="s">
        <v>3521</v>
      </c>
      <c r="C1186" t="s">
        <v>3522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3523</v>
      </c>
      <c r="B1187" t="s">
        <v>3524</v>
      </c>
      <c r="C1187" t="s">
        <v>3525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3526</v>
      </c>
      <c r="B1188" t="s">
        <v>3527</v>
      </c>
      <c r="C1188" t="s">
        <v>3528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3529</v>
      </c>
      <c r="B1189" t="s">
        <v>3527</v>
      </c>
      <c r="C1189" t="s">
        <v>3530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3531</v>
      </c>
      <c r="B1190" t="s">
        <v>3527</v>
      </c>
      <c r="C1190" t="s">
        <v>3532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3533</v>
      </c>
      <c r="B1191" t="s">
        <v>3534</v>
      </c>
      <c r="C1191" t="s">
        <v>3535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3536</v>
      </c>
      <c r="B1192" t="s">
        <v>3537</v>
      </c>
      <c r="C1192" t="s">
        <v>3538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3539</v>
      </c>
      <c r="B1193" t="s">
        <v>3540</v>
      </c>
      <c r="C1193" t="s">
        <v>3541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3542</v>
      </c>
      <c r="B1194" t="s">
        <v>3543</v>
      </c>
      <c r="C1194" t="s">
        <v>3544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3545</v>
      </c>
      <c r="B1195" t="s">
        <v>3546</v>
      </c>
      <c r="C1195" t="s">
        <v>3547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3548</v>
      </c>
      <c r="B1196" t="s">
        <v>3549</v>
      </c>
      <c r="C1196" t="s">
        <v>3550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3551</v>
      </c>
      <c r="B1197" t="s">
        <v>3552</v>
      </c>
      <c r="C1197" t="s">
        <v>3553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3554</v>
      </c>
      <c r="B1198" t="s">
        <v>3555</v>
      </c>
      <c r="C1198" t="s">
        <v>3556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3557</v>
      </c>
      <c r="B1199" t="s">
        <v>3558</v>
      </c>
      <c r="C1199" t="s">
        <v>3559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3560</v>
      </c>
      <c r="B1200" t="s">
        <v>3561</v>
      </c>
      <c r="C1200" t="s">
        <v>3562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3563</v>
      </c>
      <c r="B1201" t="s">
        <v>3564</v>
      </c>
      <c r="C1201" t="s">
        <v>3565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3566</v>
      </c>
      <c r="B1202" t="s">
        <v>3567</v>
      </c>
      <c r="C1202" t="s">
        <v>3568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3569</v>
      </c>
      <c r="B1203" t="s">
        <v>3570</v>
      </c>
      <c r="C1203" t="s">
        <v>3571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3572</v>
      </c>
      <c r="B1204" t="s">
        <v>3573</v>
      </c>
      <c r="C1204" t="s">
        <v>3574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3575</v>
      </c>
      <c r="B1205" t="s">
        <v>3576</v>
      </c>
      <c r="C1205" t="s">
        <v>3577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3578</v>
      </c>
      <c r="B1206" t="s">
        <v>3576</v>
      </c>
      <c r="C1206" t="s">
        <v>3579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3580</v>
      </c>
      <c r="B1207" t="s">
        <v>3581</v>
      </c>
      <c r="C1207" t="s">
        <v>3582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3583</v>
      </c>
      <c r="B1208" t="s">
        <v>3584</v>
      </c>
      <c r="C1208" t="s">
        <v>3585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3586</v>
      </c>
      <c r="B1209" t="s">
        <v>3587</v>
      </c>
      <c r="C1209" t="s">
        <v>3588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3589</v>
      </c>
      <c r="B1210" t="s">
        <v>3590</v>
      </c>
      <c r="C1210" t="s">
        <v>3591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3592</v>
      </c>
      <c r="B1211" t="s">
        <v>3593</v>
      </c>
      <c r="C1211" t="s">
        <v>3594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3595</v>
      </c>
      <c r="B1212" t="s">
        <v>3596</v>
      </c>
      <c r="C1212" t="s">
        <v>3597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3598</v>
      </c>
      <c r="B1213" t="s">
        <v>3599</v>
      </c>
      <c r="C1213" t="s">
        <v>3600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3601</v>
      </c>
      <c r="B1214" t="s">
        <v>3602</v>
      </c>
      <c r="C1214" t="s">
        <v>3603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3604</v>
      </c>
      <c r="B1215" t="s">
        <v>3605</v>
      </c>
      <c r="C1215" t="s">
        <v>3606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3607</v>
      </c>
      <c r="B1216" t="s">
        <v>3608</v>
      </c>
      <c r="C1216" t="s">
        <v>3609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3610</v>
      </c>
      <c r="B1217" t="s">
        <v>3611</v>
      </c>
      <c r="C1217" t="s">
        <v>3612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3613</v>
      </c>
      <c r="B1218" t="s">
        <v>3614</v>
      </c>
      <c r="C1218" t="s">
        <v>3615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3616</v>
      </c>
      <c r="B1219" t="s">
        <v>3617</v>
      </c>
      <c r="C1219" t="s">
        <v>3618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3619</v>
      </c>
      <c r="B1220" t="s">
        <v>3620</v>
      </c>
      <c r="C1220" t="s">
        <v>3621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3622</v>
      </c>
      <c r="B1221" t="s">
        <v>3623</v>
      </c>
      <c r="C1221" t="s">
        <v>3624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3625</v>
      </c>
      <c r="B1222" t="s">
        <v>3626</v>
      </c>
      <c r="C1222" t="s">
        <v>3627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3628</v>
      </c>
      <c r="B1223" t="s">
        <v>3629</v>
      </c>
      <c r="C1223" t="s">
        <v>3630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3631</v>
      </c>
      <c r="B1224" t="s">
        <v>3632</v>
      </c>
      <c r="C1224" t="s">
        <v>3633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3634</v>
      </c>
      <c r="B1225" t="s">
        <v>3635</v>
      </c>
      <c r="C1225" t="s">
        <v>3636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3637</v>
      </c>
      <c r="B1226" t="s">
        <v>3638</v>
      </c>
      <c r="C1226" t="s">
        <v>3639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3640</v>
      </c>
      <c r="B1227" t="s">
        <v>3641</v>
      </c>
      <c r="C1227" t="s">
        <v>3642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3643</v>
      </c>
      <c r="B1228" t="s">
        <v>3644</v>
      </c>
      <c r="C1228" t="s">
        <v>3645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3646</v>
      </c>
      <c r="B1229" t="s">
        <v>3647</v>
      </c>
      <c r="C1229" t="s">
        <v>3648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3649</v>
      </c>
      <c r="B1230" t="s">
        <v>3650</v>
      </c>
      <c r="C1230" t="s">
        <v>3651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3652</v>
      </c>
      <c r="B1231" t="s">
        <v>3653</v>
      </c>
      <c r="C1231" t="s">
        <v>3654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3655</v>
      </c>
      <c r="B1232" t="s">
        <v>3656</v>
      </c>
      <c r="C1232" t="s">
        <v>3657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3658</v>
      </c>
      <c r="B1233" t="s">
        <v>3659</v>
      </c>
      <c r="C1233" t="s">
        <v>3660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3661</v>
      </c>
      <c r="B1234" t="s">
        <v>3662</v>
      </c>
      <c r="C1234" t="s">
        <v>3663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3664</v>
      </c>
      <c r="B1235" t="s">
        <v>3665</v>
      </c>
      <c r="C1235" t="s">
        <v>3666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3667</v>
      </c>
      <c r="B1236" t="s">
        <v>3668</v>
      </c>
      <c r="C1236" t="s">
        <v>3669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3670</v>
      </c>
      <c r="B1237" t="s">
        <v>3671</v>
      </c>
      <c r="C1237" t="s">
        <v>3672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3673</v>
      </c>
      <c r="B1238" t="s">
        <v>3674</v>
      </c>
      <c r="C1238" t="s">
        <v>3675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3676</v>
      </c>
      <c r="B1239" t="s">
        <v>3677</v>
      </c>
      <c r="C1239" t="s">
        <v>3678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3679</v>
      </c>
      <c r="B1240" t="s">
        <v>3680</v>
      </c>
      <c r="C1240" t="s">
        <v>3681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3682</v>
      </c>
      <c r="B1241" t="s">
        <v>3683</v>
      </c>
      <c r="C1241" t="s">
        <v>3684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3685</v>
      </c>
      <c r="B1242" t="s">
        <v>3686</v>
      </c>
      <c r="C1242" t="s">
        <v>3687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3688</v>
      </c>
      <c r="B1243" t="s">
        <v>3689</v>
      </c>
      <c r="C1243" t="s">
        <v>3690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3691</v>
      </c>
      <c r="B1244" t="s">
        <v>3692</v>
      </c>
      <c r="C1244" t="s">
        <v>3693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3694</v>
      </c>
      <c r="B1245" t="s">
        <v>3695</v>
      </c>
      <c r="C1245" t="s">
        <v>3696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3697</v>
      </c>
      <c r="B1246" t="s">
        <v>3698</v>
      </c>
      <c r="C1246" t="s">
        <v>3699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3700</v>
      </c>
      <c r="B1247" t="s">
        <v>3701</v>
      </c>
      <c r="C1247" t="s">
        <v>3702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3703</v>
      </c>
      <c r="B1248" t="s">
        <v>3704</v>
      </c>
      <c r="C1248" t="s">
        <v>3705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3706</v>
      </c>
      <c r="B1249" t="s">
        <v>3707</v>
      </c>
      <c r="C1249" t="s">
        <v>3708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3709</v>
      </c>
      <c r="B1250" t="s">
        <v>3710</v>
      </c>
      <c r="C1250" t="s">
        <v>3711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3712</v>
      </c>
      <c r="B1251" t="s">
        <v>3713</v>
      </c>
      <c r="C1251" t="s">
        <v>3714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3715</v>
      </c>
      <c r="B1252" t="s">
        <v>3716</v>
      </c>
      <c r="C1252" t="s">
        <v>3717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3718</v>
      </c>
      <c r="B1253" t="s">
        <v>3719</v>
      </c>
      <c r="C1253" t="s">
        <v>3720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3721</v>
      </c>
      <c r="B1254" t="s">
        <v>3722</v>
      </c>
      <c r="C1254" t="s">
        <v>3723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3724</v>
      </c>
      <c r="B1255" t="s">
        <v>3725</v>
      </c>
      <c r="C1255" t="s">
        <v>3726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3727</v>
      </c>
      <c r="B1256" t="s">
        <v>3728</v>
      </c>
      <c r="C1256" t="s">
        <v>3729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3730</v>
      </c>
      <c r="B1257" t="s">
        <v>3731</v>
      </c>
      <c r="C1257" t="s">
        <v>3732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3733</v>
      </c>
      <c r="B1258" t="s">
        <v>3734</v>
      </c>
      <c r="C1258" t="s">
        <v>3735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3736</v>
      </c>
      <c r="B1259" t="s">
        <v>3737</v>
      </c>
      <c r="C1259" t="s">
        <v>3738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3739</v>
      </c>
      <c r="B1260" t="s">
        <v>3740</v>
      </c>
      <c r="C1260" t="s">
        <v>3741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3742</v>
      </c>
      <c r="B1261" t="s">
        <v>3743</v>
      </c>
      <c r="C1261" t="s">
        <v>3744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3745</v>
      </c>
      <c r="B1262" t="s">
        <v>3746</v>
      </c>
      <c r="C1262" t="s">
        <v>3747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3748</v>
      </c>
      <c r="B1263" t="s">
        <v>3749</v>
      </c>
      <c r="C1263" t="s">
        <v>3750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3751</v>
      </c>
      <c r="B1264" t="s">
        <v>3752</v>
      </c>
      <c r="C1264" t="s">
        <v>3753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3754</v>
      </c>
      <c r="B1265" t="s">
        <v>3755</v>
      </c>
      <c r="C1265" t="s">
        <v>3756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3757</v>
      </c>
      <c r="B1266" t="s">
        <v>3758</v>
      </c>
      <c r="C1266" t="s">
        <v>3759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3760</v>
      </c>
      <c r="B1267" t="s">
        <v>3761</v>
      </c>
      <c r="C1267" t="s">
        <v>3762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3763</v>
      </c>
      <c r="B1268" t="s">
        <v>3764</v>
      </c>
      <c r="C1268" t="s">
        <v>3765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3766</v>
      </c>
      <c r="B1269" t="s">
        <v>3767</v>
      </c>
      <c r="C1269" t="s">
        <v>3768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3769</v>
      </c>
      <c r="B1270" t="s">
        <v>3770</v>
      </c>
      <c r="C1270" t="s">
        <v>3771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3772</v>
      </c>
      <c r="B1271" t="s">
        <v>3773</v>
      </c>
      <c r="C1271" t="s">
        <v>3774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3775</v>
      </c>
      <c r="B1272" t="s">
        <v>3776</v>
      </c>
      <c r="C1272" t="s">
        <v>3777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3778</v>
      </c>
      <c r="B1273" t="s">
        <v>3779</v>
      </c>
      <c r="C1273" t="s">
        <v>3780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3781</v>
      </c>
      <c r="B1274" t="s">
        <v>3782</v>
      </c>
      <c r="C1274" t="s">
        <v>3783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3784</v>
      </c>
      <c r="B1275" t="s">
        <v>3785</v>
      </c>
      <c r="C1275" t="s">
        <v>3786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3787</v>
      </c>
      <c r="B1276" t="s">
        <v>3788</v>
      </c>
      <c r="C1276" t="s">
        <v>3789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3790</v>
      </c>
      <c r="B1277" t="s">
        <v>3791</v>
      </c>
      <c r="C1277" t="s">
        <v>3792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3793</v>
      </c>
      <c r="B1278" t="s">
        <v>3794</v>
      </c>
      <c r="C1278" t="s">
        <v>3795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3796</v>
      </c>
      <c r="B1279" t="s">
        <v>3797</v>
      </c>
      <c r="C1279" t="s">
        <v>3798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3799</v>
      </c>
      <c r="B1280" t="s">
        <v>3800</v>
      </c>
      <c r="C1280" t="s">
        <v>3801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3802</v>
      </c>
      <c r="B1281" t="s">
        <v>3803</v>
      </c>
      <c r="C1281" t="s">
        <v>3804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3805</v>
      </c>
      <c r="B1282" t="s">
        <v>3806</v>
      </c>
      <c r="C1282" t="s">
        <v>3807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3808</v>
      </c>
      <c r="B1283" t="s">
        <v>3809</v>
      </c>
      <c r="C1283" t="s">
        <v>3810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3811</v>
      </c>
      <c r="B1284" t="s">
        <v>3812</v>
      </c>
      <c r="C1284" t="s">
        <v>3813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3814</v>
      </c>
      <c r="B1285" t="s">
        <v>3815</v>
      </c>
      <c r="C1285" t="s">
        <v>3816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3817</v>
      </c>
      <c r="B1286" t="s">
        <v>3818</v>
      </c>
      <c r="C1286" t="s">
        <v>3819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3820</v>
      </c>
      <c r="B1287" t="s">
        <v>3821</v>
      </c>
      <c r="C1287" t="s">
        <v>3822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3823</v>
      </c>
      <c r="B1288" t="s">
        <v>3824</v>
      </c>
      <c r="C1288" t="s">
        <v>3825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3826</v>
      </c>
      <c r="B1289" t="s">
        <v>3827</v>
      </c>
      <c r="C1289" t="s">
        <v>3828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3829</v>
      </c>
      <c r="B1290" t="s">
        <v>3830</v>
      </c>
      <c r="C1290" t="s">
        <v>3831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3832</v>
      </c>
      <c r="B1291" t="s">
        <v>3833</v>
      </c>
      <c r="C1291" t="s">
        <v>3834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3835</v>
      </c>
      <c r="B1292" t="s">
        <v>3836</v>
      </c>
      <c r="C1292" t="s">
        <v>3837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3838</v>
      </c>
      <c r="B1293" t="s">
        <v>3839</v>
      </c>
      <c r="C1293" t="s">
        <v>3840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3841</v>
      </c>
      <c r="B1294" t="s">
        <v>3842</v>
      </c>
      <c r="C1294" t="s">
        <v>3843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3844</v>
      </c>
      <c r="B1295" t="s">
        <v>3845</v>
      </c>
      <c r="C1295" t="s">
        <v>3846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3847</v>
      </c>
      <c r="B1296" t="s">
        <v>3848</v>
      </c>
      <c r="C1296" t="s">
        <v>3849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3850</v>
      </c>
      <c r="B1297" t="s">
        <v>3851</v>
      </c>
      <c r="C1297" t="s">
        <v>3852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3853</v>
      </c>
      <c r="B1298" t="s">
        <v>3854</v>
      </c>
      <c r="C1298" t="s">
        <v>3855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3856</v>
      </c>
      <c r="B1299" t="s">
        <v>3857</v>
      </c>
      <c r="C1299" t="s">
        <v>3858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3859</v>
      </c>
      <c r="B1300" t="s">
        <v>3860</v>
      </c>
      <c r="C1300" t="s">
        <v>3861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3862</v>
      </c>
      <c r="B1301" t="s">
        <v>3863</v>
      </c>
      <c r="C1301" t="s">
        <v>3864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3865</v>
      </c>
      <c r="B1302" t="s">
        <v>3866</v>
      </c>
      <c r="C1302" t="s">
        <v>3867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3868</v>
      </c>
      <c r="B1303" t="s">
        <v>3869</v>
      </c>
      <c r="C1303" t="s">
        <v>3870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3871</v>
      </c>
      <c r="B1304" t="s">
        <v>3872</v>
      </c>
      <c r="C1304" t="s">
        <v>3873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3874</v>
      </c>
      <c r="B1305" t="s">
        <v>3875</v>
      </c>
      <c r="C1305" t="s">
        <v>3876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3877</v>
      </c>
      <c r="B1306" t="s">
        <v>3878</v>
      </c>
      <c r="C1306" t="s">
        <v>3879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3880</v>
      </c>
      <c r="B1307" t="s">
        <v>3881</v>
      </c>
      <c r="C1307" t="s">
        <v>3882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3883</v>
      </c>
      <c r="B1308" t="s">
        <v>3884</v>
      </c>
      <c r="C1308" t="s">
        <v>3885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3886</v>
      </c>
      <c r="B1309" t="s">
        <v>3887</v>
      </c>
      <c r="C1309" t="s">
        <v>3888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3889</v>
      </c>
      <c r="B1310" t="s">
        <v>3890</v>
      </c>
      <c r="C1310" t="s">
        <v>3891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3892</v>
      </c>
      <c r="B1311" t="s">
        <v>3893</v>
      </c>
      <c r="C1311" t="s">
        <v>3894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3895</v>
      </c>
      <c r="B1312" t="s">
        <v>3896</v>
      </c>
      <c r="C1312" t="s">
        <v>3897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3898</v>
      </c>
      <c r="B1313" t="s">
        <v>3899</v>
      </c>
      <c r="C1313" t="s">
        <v>3900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3901</v>
      </c>
      <c r="B1314" t="s">
        <v>3902</v>
      </c>
      <c r="C1314" t="s">
        <v>3903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3904</v>
      </c>
      <c r="B1315" t="s">
        <v>3905</v>
      </c>
      <c r="C1315" t="s">
        <v>3906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3907</v>
      </c>
      <c r="B1316" t="s">
        <v>3908</v>
      </c>
      <c r="C1316" t="s">
        <v>3909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3910</v>
      </c>
      <c r="B1317" t="s">
        <v>3911</v>
      </c>
      <c r="C1317" t="s">
        <v>3912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3913</v>
      </c>
      <c r="B1318" t="s">
        <v>3914</v>
      </c>
      <c r="C1318" t="s">
        <v>3915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3916</v>
      </c>
      <c r="B1319" t="s">
        <v>3917</v>
      </c>
      <c r="C1319" t="s">
        <v>3918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3919</v>
      </c>
      <c r="B1320" t="s">
        <v>3920</v>
      </c>
      <c r="C1320" t="s">
        <v>3921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3922</v>
      </c>
      <c r="B1321" t="s">
        <v>3923</v>
      </c>
      <c r="C1321" t="s">
        <v>3924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3925</v>
      </c>
      <c r="B1322" t="s">
        <v>3926</v>
      </c>
      <c r="C1322" t="s">
        <v>3927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3928</v>
      </c>
      <c r="B1323" t="s">
        <v>3929</v>
      </c>
      <c r="C1323" t="s">
        <v>3930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3931</v>
      </c>
      <c r="B1324" t="s">
        <v>3932</v>
      </c>
      <c r="C1324" t="s">
        <v>3933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3934</v>
      </c>
      <c r="B1325" t="s">
        <v>3935</v>
      </c>
      <c r="C1325" t="s">
        <v>3936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3937</v>
      </c>
      <c r="B1326" t="s">
        <v>3938</v>
      </c>
      <c r="C1326" t="s">
        <v>3939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3940</v>
      </c>
      <c r="B1327" t="s">
        <v>3941</v>
      </c>
      <c r="C1327" t="s">
        <v>3942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3943</v>
      </c>
      <c r="B1328" t="s">
        <v>3944</v>
      </c>
      <c r="C1328" t="s">
        <v>3945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3946</v>
      </c>
      <c r="B1329" t="s">
        <v>3947</v>
      </c>
      <c r="C1329" t="s">
        <v>3948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3949</v>
      </c>
      <c r="B1330" t="s">
        <v>3950</v>
      </c>
      <c r="C1330" t="s">
        <v>3951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3952</v>
      </c>
      <c r="B1331" t="s">
        <v>3953</v>
      </c>
      <c r="C1331" t="s">
        <v>3954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3955</v>
      </c>
      <c r="B1332" t="s">
        <v>3956</v>
      </c>
      <c r="C1332" t="s">
        <v>3957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3958</v>
      </c>
      <c r="B1333" t="s">
        <v>3959</v>
      </c>
      <c r="C1333" t="s">
        <v>3960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3961</v>
      </c>
      <c r="B1334" t="s">
        <v>3962</v>
      </c>
      <c r="C1334" t="s">
        <v>3963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3964</v>
      </c>
      <c r="B1335" t="s">
        <v>3965</v>
      </c>
      <c r="C1335" t="s">
        <v>3966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3967</v>
      </c>
      <c r="B1336" t="s">
        <v>3968</v>
      </c>
      <c r="C1336" t="s">
        <v>3969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3970</v>
      </c>
      <c r="B1337" t="s">
        <v>3971</v>
      </c>
      <c r="C1337" t="s">
        <v>3972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3973</v>
      </c>
      <c r="B1338" t="s">
        <v>3974</v>
      </c>
      <c r="C1338" t="s">
        <v>3975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3976</v>
      </c>
      <c r="B1339" t="s">
        <v>3977</v>
      </c>
      <c r="C1339" t="s">
        <v>3978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3979</v>
      </c>
      <c r="B1340" t="s">
        <v>3980</v>
      </c>
      <c r="C1340" t="s">
        <v>3981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3982</v>
      </c>
      <c r="B1341" t="s">
        <v>3983</v>
      </c>
      <c r="C1341" t="s">
        <v>3984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3985</v>
      </c>
      <c r="B1342" t="s">
        <v>3986</v>
      </c>
      <c r="C1342" t="s">
        <v>3987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3988</v>
      </c>
      <c r="B1343" t="s">
        <v>3989</v>
      </c>
      <c r="C1343" t="s">
        <v>3990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3991</v>
      </c>
      <c r="B1344" t="s">
        <v>3992</v>
      </c>
      <c r="C1344" t="s">
        <v>3993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3994</v>
      </c>
      <c r="B1345" t="s">
        <v>3995</v>
      </c>
      <c r="C1345" t="s">
        <v>3996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3997</v>
      </c>
      <c r="B1346" t="s">
        <v>3998</v>
      </c>
      <c r="C1346" t="s">
        <v>3999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4000</v>
      </c>
      <c r="B1347" t="s">
        <v>4001</v>
      </c>
      <c r="C1347" t="s">
        <v>4002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4003</v>
      </c>
      <c r="B1348" t="s">
        <v>4004</v>
      </c>
      <c r="C1348" t="s">
        <v>4005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4006</v>
      </c>
      <c r="B1349" t="s">
        <v>4007</v>
      </c>
      <c r="C1349" t="s">
        <v>4008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4009</v>
      </c>
      <c r="B1350" t="s">
        <v>4010</v>
      </c>
      <c r="C1350" t="s">
        <v>4011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4012</v>
      </c>
      <c r="B1351" t="s">
        <v>4013</v>
      </c>
      <c r="C1351" t="s">
        <v>4014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4015</v>
      </c>
      <c r="B1352" t="s">
        <v>4016</v>
      </c>
      <c r="C1352" t="s">
        <v>4017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4018</v>
      </c>
      <c r="B1353" t="s">
        <v>4019</v>
      </c>
      <c r="C1353" t="s">
        <v>4020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4021</v>
      </c>
      <c r="B1354" t="s">
        <v>4022</v>
      </c>
      <c r="C1354" t="s">
        <v>4023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4024</v>
      </c>
      <c r="B1355" t="s">
        <v>4025</v>
      </c>
      <c r="C1355" t="s">
        <v>4026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4027</v>
      </c>
      <c r="B1356" t="s">
        <v>4028</v>
      </c>
      <c r="C1356" t="s">
        <v>4029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4030</v>
      </c>
      <c r="B1357" t="s">
        <v>4031</v>
      </c>
      <c r="C1357" t="s">
        <v>4032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4033</v>
      </c>
      <c r="B1358" t="s">
        <v>4034</v>
      </c>
      <c r="C1358" t="s">
        <v>4035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4036</v>
      </c>
      <c r="B1359" t="s">
        <v>4037</v>
      </c>
      <c r="C1359" t="s">
        <v>4038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4039</v>
      </c>
      <c r="B1360" t="s">
        <v>4040</v>
      </c>
      <c r="C1360" t="s">
        <v>4041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4042</v>
      </c>
      <c r="B1361" t="s">
        <v>4043</v>
      </c>
      <c r="C1361" t="s">
        <v>4044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4045</v>
      </c>
      <c r="B1362" t="s">
        <v>4046</v>
      </c>
      <c r="C1362" t="s">
        <v>4047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4048</v>
      </c>
      <c r="B1363" t="s">
        <v>4049</v>
      </c>
      <c r="C1363" t="s">
        <v>4050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4051</v>
      </c>
      <c r="B1364" t="s">
        <v>4052</v>
      </c>
      <c r="C1364" t="s">
        <v>4053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4054</v>
      </c>
      <c r="B1365" t="s">
        <v>4055</v>
      </c>
      <c r="C1365" t="s">
        <v>4056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4057</v>
      </c>
      <c r="B1366" t="s">
        <v>4058</v>
      </c>
      <c r="C1366" t="s">
        <v>4059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4060</v>
      </c>
      <c r="B1367" t="s">
        <v>4061</v>
      </c>
      <c r="C1367" t="s">
        <v>4062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4063</v>
      </c>
      <c r="B1368" t="s">
        <v>4064</v>
      </c>
      <c r="C1368" t="s">
        <v>4065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4066</v>
      </c>
      <c r="B1369" t="s">
        <v>4067</v>
      </c>
      <c r="C1369" t="s">
        <v>4068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4069</v>
      </c>
      <c r="B1370" t="s">
        <v>4070</v>
      </c>
      <c r="C1370" t="s">
        <v>4071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4072</v>
      </c>
      <c r="B1371" t="s">
        <v>4073</v>
      </c>
      <c r="C1371" t="s">
        <v>4074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4075</v>
      </c>
      <c r="B1372" t="s">
        <v>4076</v>
      </c>
      <c r="C1372" t="s">
        <v>4077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4078</v>
      </c>
      <c r="B1373" t="s">
        <v>4079</v>
      </c>
      <c r="C1373" t="s">
        <v>4080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4081</v>
      </c>
      <c r="B1374" t="s">
        <v>4082</v>
      </c>
      <c r="C1374" t="s">
        <v>4083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4084</v>
      </c>
      <c r="B1375" t="s">
        <v>4085</v>
      </c>
      <c r="C1375" t="s">
        <v>4086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4087</v>
      </c>
      <c r="B1376" t="s">
        <v>4088</v>
      </c>
      <c r="C1376" t="s">
        <v>4089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4090</v>
      </c>
      <c r="B1377" t="s">
        <v>4091</v>
      </c>
      <c r="C1377" t="s">
        <v>4092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4093</v>
      </c>
      <c r="B1378" t="s">
        <v>4094</v>
      </c>
      <c r="C1378" t="s">
        <v>4095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4096</v>
      </c>
      <c r="B1379" t="s">
        <v>4097</v>
      </c>
      <c r="C1379" t="s">
        <v>4098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4099</v>
      </c>
      <c r="B1380" t="s">
        <v>4100</v>
      </c>
      <c r="C1380" t="s">
        <v>4101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4102</v>
      </c>
      <c r="B1381" t="s">
        <v>4103</v>
      </c>
      <c r="C1381" t="s">
        <v>4104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4105</v>
      </c>
      <c r="B1382" t="s">
        <v>4106</v>
      </c>
      <c r="C1382" t="s">
        <v>4107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4108</v>
      </c>
      <c r="B1383" t="s">
        <v>4109</v>
      </c>
      <c r="C1383" t="s">
        <v>4110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4111</v>
      </c>
      <c r="B1384" t="s">
        <v>4112</v>
      </c>
      <c r="C1384" t="s">
        <v>4113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4114</v>
      </c>
      <c r="B1385" t="s">
        <v>4115</v>
      </c>
      <c r="C1385" t="s">
        <v>4116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4117</v>
      </c>
      <c r="B1386" t="s">
        <v>4118</v>
      </c>
      <c r="C1386" t="s">
        <v>4119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4120</v>
      </c>
      <c r="B1387" t="s">
        <v>4121</v>
      </c>
      <c r="C1387" t="s">
        <v>4122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4123</v>
      </c>
      <c r="B1388" t="s">
        <v>4124</v>
      </c>
      <c r="C1388" t="s">
        <v>4125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4126</v>
      </c>
      <c r="B1389" t="s">
        <v>4127</v>
      </c>
      <c r="C1389" t="s">
        <v>4128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4129</v>
      </c>
      <c r="B1390" t="s">
        <v>4130</v>
      </c>
      <c r="C1390" t="s">
        <v>4131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4132</v>
      </c>
      <c r="B1391" t="s">
        <v>4133</v>
      </c>
      <c r="C1391" t="s">
        <v>4134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4135</v>
      </c>
      <c r="B1392" t="s">
        <v>4136</v>
      </c>
      <c r="C1392" t="s">
        <v>4137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4138</v>
      </c>
      <c r="B1393" t="s">
        <v>4139</v>
      </c>
      <c r="C1393" t="s">
        <v>4140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4141</v>
      </c>
      <c r="B1394" t="s">
        <v>4139</v>
      </c>
      <c r="C1394" t="s">
        <v>4142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4143</v>
      </c>
      <c r="B1395" t="s">
        <v>4139</v>
      </c>
      <c r="C1395" t="s">
        <v>4144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4145</v>
      </c>
      <c r="B1396" t="s">
        <v>4146</v>
      </c>
      <c r="C1396" t="s">
        <v>4147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4148</v>
      </c>
      <c r="B1397" t="s">
        <v>4149</v>
      </c>
      <c r="C1397" t="s">
        <v>4150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4151</v>
      </c>
      <c r="B1398" t="s">
        <v>4152</v>
      </c>
      <c r="C1398" t="s">
        <v>4153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4154</v>
      </c>
      <c r="B1399" t="s">
        <v>4155</v>
      </c>
      <c r="C1399" t="s">
        <v>4156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4157</v>
      </c>
      <c r="B1400" t="s">
        <v>4158</v>
      </c>
      <c r="C1400" t="s">
        <v>4159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4160</v>
      </c>
      <c r="B1401" t="s">
        <v>4161</v>
      </c>
      <c r="C1401" t="s">
        <v>4162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4163</v>
      </c>
      <c r="B1402" t="s">
        <v>4164</v>
      </c>
      <c r="C1402" t="s">
        <v>4165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4166</v>
      </c>
      <c r="B1403" t="s">
        <v>4164</v>
      </c>
      <c r="C1403" t="s">
        <v>4167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4168</v>
      </c>
      <c r="B1404" t="s">
        <v>4169</v>
      </c>
      <c r="C1404" t="s">
        <v>4170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4171</v>
      </c>
      <c r="B1405" t="s">
        <v>4172</v>
      </c>
      <c r="C1405" t="s">
        <v>4173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4174</v>
      </c>
      <c r="B1406" t="s">
        <v>4175</v>
      </c>
      <c r="C1406" t="s">
        <v>4176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4177</v>
      </c>
      <c r="B1407" t="s">
        <v>4178</v>
      </c>
      <c r="C1407" t="s">
        <v>4179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4180</v>
      </c>
      <c r="B1408" t="s">
        <v>4181</v>
      </c>
      <c r="C1408" t="s">
        <v>4182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4183</v>
      </c>
      <c r="B1409" t="s">
        <v>4184</v>
      </c>
      <c r="C1409" t="s">
        <v>4185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4186</v>
      </c>
      <c r="B1410" t="s">
        <v>4187</v>
      </c>
      <c r="C1410" t="s">
        <v>4188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4189</v>
      </c>
      <c r="B1411" t="s">
        <v>4190</v>
      </c>
      <c r="C1411" t="s">
        <v>4191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4192</v>
      </c>
      <c r="B1412" t="s">
        <v>4193</v>
      </c>
      <c r="C1412" t="s">
        <v>4194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4195</v>
      </c>
      <c r="B1413" t="s">
        <v>4196</v>
      </c>
      <c r="C1413" t="s">
        <v>4197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4198</v>
      </c>
      <c r="B1414" t="s">
        <v>4199</v>
      </c>
      <c r="C1414" t="s">
        <v>4200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4201</v>
      </c>
      <c r="B1415" t="s">
        <v>4202</v>
      </c>
      <c r="C1415" t="s">
        <v>4203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4204</v>
      </c>
      <c r="B1416" t="s">
        <v>4205</v>
      </c>
      <c r="C1416" t="s">
        <v>4206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4207</v>
      </c>
      <c r="B1417" t="s">
        <v>4208</v>
      </c>
      <c r="C1417" t="s">
        <v>4209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4210</v>
      </c>
      <c r="B1418" t="s">
        <v>4211</v>
      </c>
      <c r="C1418" t="s">
        <v>4212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4213</v>
      </c>
      <c r="B1419" t="s">
        <v>4214</v>
      </c>
      <c r="C1419" t="s">
        <v>4215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4216</v>
      </c>
      <c r="B1420" t="s">
        <v>4217</v>
      </c>
      <c r="C1420" t="s">
        <v>4218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4219</v>
      </c>
      <c r="B1421" t="s">
        <v>4220</v>
      </c>
      <c r="C1421" t="s">
        <v>4221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4222</v>
      </c>
      <c r="B1422" t="s">
        <v>4223</v>
      </c>
      <c r="C1422" t="s">
        <v>4224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4225</v>
      </c>
      <c r="B1423" t="s">
        <v>4226</v>
      </c>
      <c r="C1423" t="s">
        <v>4227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4228</v>
      </c>
      <c r="B1424" t="s">
        <v>4229</v>
      </c>
      <c r="C1424" t="s">
        <v>4230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4231</v>
      </c>
      <c r="B1425" t="s">
        <v>4232</v>
      </c>
      <c r="C1425" t="s">
        <v>4233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4234</v>
      </c>
      <c r="B1426" t="s">
        <v>4235</v>
      </c>
      <c r="C1426" t="s">
        <v>4236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4237</v>
      </c>
      <c r="B1427" t="s">
        <v>1140</v>
      </c>
      <c r="C1427" t="s">
        <v>4238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4239</v>
      </c>
      <c r="B1428" t="s">
        <v>4240</v>
      </c>
      <c r="C1428" t="s">
        <v>4241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4242</v>
      </c>
      <c r="B1429" t="s">
        <v>4243</v>
      </c>
      <c r="C1429" t="s">
        <v>4244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4245</v>
      </c>
      <c r="B1430" t="s">
        <v>4246</v>
      </c>
      <c r="C1430" t="s">
        <v>4247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4248</v>
      </c>
      <c r="B1431" t="s">
        <v>4249</v>
      </c>
      <c r="C1431" t="s">
        <v>4250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4251</v>
      </c>
      <c r="B1432" t="s">
        <v>4252</v>
      </c>
      <c r="C1432" t="s">
        <v>4253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4254</v>
      </c>
      <c r="B1433" t="s">
        <v>4255</v>
      </c>
      <c r="C1433" t="s">
        <v>4256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4257</v>
      </c>
      <c r="B1434" t="s">
        <v>4258</v>
      </c>
      <c r="C1434" t="s">
        <v>4259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4260</v>
      </c>
      <c r="B1435" t="s">
        <v>4261</v>
      </c>
      <c r="C1435" t="s">
        <v>4262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4263</v>
      </c>
      <c r="B1436" t="s">
        <v>4264</v>
      </c>
      <c r="C1436" t="s">
        <v>4265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4266</v>
      </c>
      <c r="B1437" t="s">
        <v>4267</v>
      </c>
      <c r="C1437" t="s">
        <v>4268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4269</v>
      </c>
      <c r="B1438" t="s">
        <v>4270</v>
      </c>
      <c r="C1438" t="s">
        <v>4271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4272</v>
      </c>
      <c r="B1439" t="s">
        <v>4273</v>
      </c>
      <c r="C1439" t="s">
        <v>4274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4275</v>
      </c>
      <c r="B1440" t="s">
        <v>4276</v>
      </c>
      <c r="C1440" t="s">
        <v>4277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4278</v>
      </c>
      <c r="B1441" t="s">
        <v>4279</v>
      </c>
      <c r="C1441" t="s">
        <v>4280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4281</v>
      </c>
      <c r="B1442" t="s">
        <v>4282</v>
      </c>
      <c r="C1442" t="s">
        <v>4283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4284</v>
      </c>
      <c r="B1443" t="s">
        <v>4285</v>
      </c>
      <c r="C1443" t="s">
        <v>4286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4287</v>
      </c>
      <c r="B1444" t="s">
        <v>4288</v>
      </c>
      <c r="C1444" t="s">
        <v>4289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4290</v>
      </c>
      <c r="B1445" t="s">
        <v>4291</v>
      </c>
      <c r="C1445" t="s">
        <v>4292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4293</v>
      </c>
      <c r="B1446" t="s">
        <v>4294</v>
      </c>
      <c r="C1446" t="s">
        <v>4295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4296</v>
      </c>
      <c r="B1447" t="s">
        <v>4297</v>
      </c>
      <c r="C1447" t="s">
        <v>4298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4299</v>
      </c>
      <c r="B1448" t="s">
        <v>4300</v>
      </c>
      <c r="C1448" t="s">
        <v>4301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4302</v>
      </c>
      <c r="B1449" t="s">
        <v>4303</v>
      </c>
      <c r="C1449" t="s">
        <v>4304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4305</v>
      </c>
      <c r="B1450" t="s">
        <v>4306</v>
      </c>
      <c r="C1450" t="s">
        <v>4307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4308</v>
      </c>
      <c r="B1451" t="s">
        <v>4309</v>
      </c>
      <c r="C1451" t="s">
        <v>4310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4311</v>
      </c>
      <c r="B1452" t="s">
        <v>4312</v>
      </c>
      <c r="C1452" t="s">
        <v>4313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4314</v>
      </c>
      <c r="B1453" t="s">
        <v>4315</v>
      </c>
      <c r="C1453" t="s">
        <v>4316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4317</v>
      </c>
      <c r="B1454" t="s">
        <v>4318</v>
      </c>
      <c r="C1454" t="s">
        <v>4319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4320</v>
      </c>
      <c r="B1455" t="s">
        <v>4321</v>
      </c>
      <c r="C1455" t="s">
        <v>4322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4323</v>
      </c>
      <c r="B1456" t="s">
        <v>4324</v>
      </c>
      <c r="C1456" t="s">
        <v>4325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4326</v>
      </c>
      <c r="B1457" t="s">
        <v>4327</v>
      </c>
      <c r="C1457" t="s">
        <v>4328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4329</v>
      </c>
      <c r="B1458" t="s">
        <v>4330</v>
      </c>
      <c r="C1458" t="s">
        <v>4331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4332</v>
      </c>
      <c r="B1459" t="s">
        <v>4333</v>
      </c>
      <c r="C1459" t="s">
        <v>4334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4335</v>
      </c>
      <c r="B1460" t="s">
        <v>4336</v>
      </c>
      <c r="C1460" t="s">
        <v>4337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4338</v>
      </c>
      <c r="B1461" t="s">
        <v>4339</v>
      </c>
      <c r="C1461" t="s">
        <v>4340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4341</v>
      </c>
      <c r="B1462" t="s">
        <v>4342</v>
      </c>
      <c r="C1462" t="s">
        <v>4343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4344</v>
      </c>
      <c r="B1463" t="s">
        <v>4345</v>
      </c>
      <c r="C1463" t="s">
        <v>4346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4347</v>
      </c>
      <c r="B1464" t="s">
        <v>4348</v>
      </c>
      <c r="C1464" t="s">
        <v>4349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4350</v>
      </c>
      <c r="B1465" t="s">
        <v>4351</v>
      </c>
      <c r="C1465" t="s">
        <v>4352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4353</v>
      </c>
      <c r="B1466" t="s">
        <v>4354</v>
      </c>
      <c r="C1466" t="s">
        <v>4355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4356</v>
      </c>
      <c r="B1467" t="s">
        <v>4357</v>
      </c>
      <c r="C1467" t="s">
        <v>4358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4359</v>
      </c>
      <c r="B1468" t="s">
        <v>4360</v>
      </c>
      <c r="C1468" t="s">
        <v>4361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4362</v>
      </c>
      <c r="B1469" t="s">
        <v>4363</v>
      </c>
      <c r="C1469" t="s">
        <v>4364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4365</v>
      </c>
      <c r="B1470" t="s">
        <v>4366</v>
      </c>
      <c r="C1470" t="s">
        <v>4367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4368</v>
      </c>
      <c r="B1471" t="s">
        <v>4369</v>
      </c>
      <c r="C1471" t="s">
        <v>4370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4371</v>
      </c>
      <c r="B1472" t="s">
        <v>4372</v>
      </c>
      <c r="C1472" t="s">
        <v>4373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4374</v>
      </c>
      <c r="B1473" t="s">
        <v>4375</v>
      </c>
      <c r="C1473" t="s">
        <v>4376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4377</v>
      </c>
      <c r="B1474" t="s">
        <v>4378</v>
      </c>
      <c r="C1474" t="s">
        <v>4379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4380</v>
      </c>
      <c r="B1475" t="s">
        <v>4381</v>
      </c>
      <c r="C1475" t="s">
        <v>4382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4383</v>
      </c>
      <c r="B1476" t="s">
        <v>4384</v>
      </c>
      <c r="C1476" t="s">
        <v>4385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4386</v>
      </c>
      <c r="B1477" t="s">
        <v>4387</v>
      </c>
      <c r="C1477" t="s">
        <v>4388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4389</v>
      </c>
      <c r="B1478" t="s">
        <v>4390</v>
      </c>
      <c r="C1478" t="s">
        <v>4391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4392</v>
      </c>
      <c r="B1479" t="s">
        <v>4393</v>
      </c>
      <c r="C1479" t="s">
        <v>4394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4395</v>
      </c>
      <c r="B1480" t="s">
        <v>4396</v>
      </c>
      <c r="C1480" t="s">
        <v>4397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4398</v>
      </c>
      <c r="B1481" t="s">
        <v>4399</v>
      </c>
      <c r="C1481" t="s">
        <v>4400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4401</v>
      </c>
      <c r="B1482" t="s">
        <v>4402</v>
      </c>
      <c r="C1482" t="s">
        <v>4403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4404</v>
      </c>
      <c r="B1483" t="s">
        <v>4405</v>
      </c>
      <c r="C1483" t="s">
        <v>4406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4407</v>
      </c>
      <c r="B1484" t="s">
        <v>4408</v>
      </c>
      <c r="C1484" t="s">
        <v>4409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4410</v>
      </c>
      <c r="B1485" t="s">
        <v>4411</v>
      </c>
      <c r="C1485" t="s">
        <v>4412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4413</v>
      </c>
      <c r="B1486" t="s">
        <v>4414</v>
      </c>
      <c r="C1486" t="s">
        <v>4415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4416</v>
      </c>
      <c r="B1487" t="s">
        <v>4417</v>
      </c>
      <c r="C1487" t="s">
        <v>4418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4419</v>
      </c>
      <c r="B1488" t="s">
        <v>4420</v>
      </c>
      <c r="C1488" t="s">
        <v>4421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4422</v>
      </c>
      <c r="B1489" t="s">
        <v>4423</v>
      </c>
      <c r="C1489" t="s">
        <v>4424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4425</v>
      </c>
      <c r="B1490" t="s">
        <v>4426</v>
      </c>
      <c r="C1490" t="s">
        <v>4427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4428</v>
      </c>
      <c r="B1491" t="s">
        <v>4429</v>
      </c>
      <c r="C1491" t="s">
        <v>4430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4431</v>
      </c>
      <c r="B1492" t="s">
        <v>4432</v>
      </c>
      <c r="C1492" t="s">
        <v>4433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4434</v>
      </c>
      <c r="B1493" t="s">
        <v>4435</v>
      </c>
      <c r="C1493" t="s">
        <v>4436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4437</v>
      </c>
      <c r="B1494" t="s">
        <v>4438</v>
      </c>
      <c r="C1494" t="s">
        <v>4439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4440</v>
      </c>
      <c r="B1495" t="s">
        <v>4441</v>
      </c>
      <c r="C1495" t="s">
        <v>4442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4443</v>
      </c>
      <c r="B1496" t="s">
        <v>4444</v>
      </c>
      <c r="C1496" t="s">
        <v>4445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4446</v>
      </c>
      <c r="B1497" t="s">
        <v>4447</v>
      </c>
      <c r="C1497" t="s">
        <v>4448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4449</v>
      </c>
      <c r="B1498" t="s">
        <v>4450</v>
      </c>
      <c r="C1498" t="s">
        <v>4451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4452</v>
      </c>
      <c r="B1499" t="s">
        <v>4453</v>
      </c>
      <c r="C1499" t="s">
        <v>4454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4455</v>
      </c>
      <c r="B1500" t="s">
        <v>4456</v>
      </c>
      <c r="C1500" t="s">
        <v>4457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4458</v>
      </c>
      <c r="B1501" t="s">
        <v>4459</v>
      </c>
      <c r="C1501" t="s">
        <v>4460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4461</v>
      </c>
      <c r="B1502" t="s">
        <v>4462</v>
      </c>
      <c r="C1502" t="s">
        <v>4463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4464</v>
      </c>
      <c r="B1503" t="s">
        <v>4465</v>
      </c>
      <c r="C1503" t="s">
        <v>4466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4467</v>
      </c>
      <c r="B1504" t="s">
        <v>4468</v>
      </c>
      <c r="C1504" t="s">
        <v>4469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4470</v>
      </c>
      <c r="B1505" t="s">
        <v>4471</v>
      </c>
      <c r="C1505" t="s">
        <v>4472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4473</v>
      </c>
      <c r="B1506" t="s">
        <v>4474</v>
      </c>
      <c r="C1506" t="s">
        <v>4475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4476</v>
      </c>
      <c r="B1507" t="s">
        <v>4477</v>
      </c>
      <c r="C1507" t="s">
        <v>4478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4479</v>
      </c>
      <c r="B1508" t="s">
        <v>4480</v>
      </c>
      <c r="C1508" t="s">
        <v>4481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4482</v>
      </c>
      <c r="B1509" t="s">
        <v>4483</v>
      </c>
      <c r="C1509" t="s">
        <v>4484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4485</v>
      </c>
      <c r="B1510" t="s">
        <v>4486</v>
      </c>
      <c r="C1510" t="s">
        <v>4487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4488</v>
      </c>
      <c r="B1511" t="s">
        <v>4489</v>
      </c>
      <c r="C1511" t="s">
        <v>4490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4491</v>
      </c>
      <c r="B1512" t="s">
        <v>4492</v>
      </c>
      <c r="C1512" t="s">
        <v>4493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4494</v>
      </c>
      <c r="B1513" t="s">
        <v>4495</v>
      </c>
      <c r="C1513" t="s">
        <v>4496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4497</v>
      </c>
      <c r="B1514" t="s">
        <v>4498</v>
      </c>
      <c r="C1514" t="s">
        <v>4499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4500</v>
      </c>
      <c r="B1515" t="s">
        <v>4501</v>
      </c>
      <c r="C1515" t="s">
        <v>4502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4503</v>
      </c>
      <c r="B1516" t="s">
        <v>4504</v>
      </c>
      <c r="C1516" t="s">
        <v>4505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4506</v>
      </c>
      <c r="B1517" t="s">
        <v>4507</v>
      </c>
      <c r="C1517" t="s">
        <v>4508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4509</v>
      </c>
      <c r="B1518" t="s">
        <v>4510</v>
      </c>
      <c r="C1518" t="s">
        <v>4511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4512</v>
      </c>
      <c r="B1519" t="s">
        <v>4513</v>
      </c>
      <c r="C1519" t="s">
        <v>4514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4515</v>
      </c>
      <c r="B1520" t="s">
        <v>4516</v>
      </c>
      <c r="C1520" t="s">
        <v>4517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4518</v>
      </c>
      <c r="B1521" t="s">
        <v>4519</v>
      </c>
      <c r="C1521" t="s">
        <v>4520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4521</v>
      </c>
      <c r="B1522" t="s">
        <v>4522</v>
      </c>
      <c r="C1522" t="s">
        <v>4523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4524</v>
      </c>
      <c r="B1523" t="s">
        <v>4525</v>
      </c>
      <c r="C1523" t="s">
        <v>4526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4527</v>
      </c>
      <c r="B1524" t="s">
        <v>4528</v>
      </c>
      <c r="C1524" t="s">
        <v>4529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4530</v>
      </c>
      <c r="B1525" t="s">
        <v>4531</v>
      </c>
      <c r="C1525" t="s">
        <v>4532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4533</v>
      </c>
      <c r="B1526" t="s">
        <v>4534</v>
      </c>
      <c r="C1526" t="s">
        <v>4535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4536</v>
      </c>
      <c r="B1527" t="s">
        <v>4537</v>
      </c>
      <c r="C1527" t="s">
        <v>4538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4539</v>
      </c>
      <c r="B1528" t="s">
        <v>4540</v>
      </c>
      <c r="C1528" t="s">
        <v>4541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4542</v>
      </c>
      <c r="B1529" t="s">
        <v>4543</v>
      </c>
      <c r="C1529" t="s">
        <v>4544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4545</v>
      </c>
      <c r="B1530" t="s">
        <v>4546</v>
      </c>
      <c r="C1530" t="s">
        <v>4547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4548</v>
      </c>
      <c r="B1531" t="s">
        <v>4549</v>
      </c>
      <c r="C1531" t="s">
        <v>4550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4551</v>
      </c>
      <c r="B1532" t="s">
        <v>4552</v>
      </c>
      <c r="C1532" t="s">
        <v>4553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4554</v>
      </c>
      <c r="B1533" t="s">
        <v>4555</v>
      </c>
      <c r="C1533" t="s">
        <v>4556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4557</v>
      </c>
      <c r="B1534" t="s">
        <v>4558</v>
      </c>
      <c r="C1534" t="s">
        <v>4559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4560</v>
      </c>
      <c r="B1535" t="s">
        <v>4561</v>
      </c>
      <c r="C1535" t="s">
        <v>4562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4563</v>
      </c>
      <c r="B1536" t="s">
        <v>4564</v>
      </c>
      <c r="C1536" t="s">
        <v>4565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4566</v>
      </c>
      <c r="B1537" t="s">
        <v>4567</v>
      </c>
      <c r="C1537" t="s">
        <v>4568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4569</v>
      </c>
      <c r="B1538" t="s">
        <v>4570</v>
      </c>
      <c r="C1538" t="s">
        <v>4571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4572</v>
      </c>
      <c r="B1539" t="s">
        <v>4573</v>
      </c>
      <c r="C1539" t="s">
        <v>4574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4575</v>
      </c>
      <c r="B1540" t="s">
        <v>4576</v>
      </c>
      <c r="C1540" t="s">
        <v>4577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4578</v>
      </c>
      <c r="B1541" t="s">
        <v>4579</v>
      </c>
      <c r="C1541" t="s">
        <v>4580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4581</v>
      </c>
      <c r="B1542" t="s">
        <v>4582</v>
      </c>
      <c r="C1542" t="s">
        <v>4583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4584</v>
      </c>
      <c r="B1543" t="s">
        <v>4585</v>
      </c>
      <c r="C1543" t="s">
        <v>4586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4587</v>
      </c>
      <c r="B1544" t="s">
        <v>4588</v>
      </c>
      <c r="C1544" t="s">
        <v>4589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4590</v>
      </c>
      <c r="B1545" t="s">
        <v>4591</v>
      </c>
      <c r="C1545" t="s">
        <v>4592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4593</v>
      </c>
      <c r="B1546" t="s">
        <v>4594</v>
      </c>
      <c r="C1546" t="s">
        <v>4595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4596</v>
      </c>
      <c r="B1547" t="s">
        <v>4597</v>
      </c>
      <c r="C1547" t="s">
        <v>4598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4599</v>
      </c>
      <c r="B1548" t="s">
        <v>4600</v>
      </c>
      <c r="C1548" t="s">
        <v>4601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4602</v>
      </c>
      <c r="B1549" t="s">
        <v>4603</v>
      </c>
      <c r="C1549" t="s">
        <v>4604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4605</v>
      </c>
      <c r="B1550" t="s">
        <v>4606</v>
      </c>
      <c r="C1550" t="s">
        <v>4607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4608</v>
      </c>
      <c r="B1551" t="s">
        <v>4609</v>
      </c>
      <c r="C1551" t="s">
        <v>4610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4611</v>
      </c>
      <c r="B1552" t="s">
        <v>4612</v>
      </c>
      <c r="C1552" t="s">
        <v>4613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4614</v>
      </c>
      <c r="B1553" t="s">
        <v>4615</v>
      </c>
      <c r="C1553" t="s">
        <v>4616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4617</v>
      </c>
      <c r="B1554" t="s">
        <v>4618</v>
      </c>
      <c r="C1554" t="s">
        <v>4619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4620</v>
      </c>
      <c r="B1555" t="s">
        <v>4621</v>
      </c>
      <c r="C1555" t="s">
        <v>4622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4623</v>
      </c>
      <c r="B1556" t="s">
        <v>4624</v>
      </c>
      <c r="C1556" t="s">
        <v>4625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4626</v>
      </c>
      <c r="B1557" t="s">
        <v>4627</v>
      </c>
      <c r="C1557" t="s">
        <v>4628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4629</v>
      </c>
      <c r="B1558" t="s">
        <v>4630</v>
      </c>
      <c r="C1558" t="s">
        <v>4631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4632</v>
      </c>
      <c r="B1559" t="s">
        <v>4633</v>
      </c>
      <c r="C1559" t="s">
        <v>4634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4635</v>
      </c>
      <c r="B1560" t="s">
        <v>4636</v>
      </c>
      <c r="C1560" t="s">
        <v>4637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4638</v>
      </c>
      <c r="B1561" t="s">
        <v>4639</v>
      </c>
      <c r="C1561" t="s">
        <v>4640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4641</v>
      </c>
      <c r="B1562" t="s">
        <v>4642</v>
      </c>
      <c r="C1562" t="s">
        <v>4643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4644</v>
      </c>
      <c r="B1563" t="s">
        <v>4645</v>
      </c>
      <c r="C1563" t="s">
        <v>4646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4647</v>
      </c>
      <c r="B1564" t="s">
        <v>4648</v>
      </c>
      <c r="C1564" t="s">
        <v>4649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4650</v>
      </c>
      <c r="B1565" t="s">
        <v>4651</v>
      </c>
      <c r="C1565" t="s">
        <v>4652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4653</v>
      </c>
      <c r="B1566" t="s">
        <v>4654</v>
      </c>
      <c r="C1566" t="s">
        <v>4655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4656</v>
      </c>
      <c r="B1567" t="s">
        <v>4657</v>
      </c>
      <c r="C1567" t="s">
        <v>4658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4659</v>
      </c>
      <c r="B1568" t="s">
        <v>4660</v>
      </c>
      <c r="C1568" t="s">
        <v>4661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4662</v>
      </c>
      <c r="B1569" t="s">
        <v>4663</v>
      </c>
      <c r="C1569" t="s">
        <v>4664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4665</v>
      </c>
      <c r="B1570" t="s">
        <v>4666</v>
      </c>
      <c r="C1570" t="s">
        <v>4667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4668</v>
      </c>
      <c r="B1571" t="s">
        <v>4669</v>
      </c>
      <c r="C1571" t="s">
        <v>4670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4671</v>
      </c>
      <c r="B1572" t="s">
        <v>4672</v>
      </c>
      <c r="C1572" t="s">
        <v>4673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4674</v>
      </c>
      <c r="B1573" t="s">
        <v>4675</v>
      </c>
      <c r="C1573" t="s">
        <v>4676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4677</v>
      </c>
      <c r="B1574" t="s">
        <v>4678</v>
      </c>
      <c r="C1574" t="s">
        <v>4679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4680</v>
      </c>
      <c r="B1575" t="s">
        <v>4681</v>
      </c>
      <c r="C1575" t="s">
        <v>4682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4683</v>
      </c>
      <c r="B1576" t="s">
        <v>4684</v>
      </c>
      <c r="C1576" t="s">
        <v>4685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4686</v>
      </c>
      <c r="B1577" t="s">
        <v>4687</v>
      </c>
      <c r="C1577" t="s">
        <v>4688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4689</v>
      </c>
      <c r="B1578" t="s">
        <v>4690</v>
      </c>
      <c r="C1578" t="s">
        <v>4691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4692</v>
      </c>
      <c r="B1579" t="s">
        <v>4693</v>
      </c>
      <c r="C1579" t="s">
        <v>4694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4695</v>
      </c>
      <c r="B1580" t="s">
        <v>4696</v>
      </c>
      <c r="C1580" t="s">
        <v>4697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4698</v>
      </c>
      <c r="B1581" t="s">
        <v>4699</v>
      </c>
      <c r="C1581" t="s">
        <v>4700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4701</v>
      </c>
      <c r="B1582" t="s">
        <v>4702</v>
      </c>
      <c r="C1582" t="s">
        <v>4703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4704</v>
      </c>
      <c r="B1583" t="s">
        <v>4705</v>
      </c>
      <c r="C1583" t="s">
        <v>4706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4707</v>
      </c>
      <c r="B1584" t="s">
        <v>4708</v>
      </c>
      <c r="C1584" t="s">
        <v>4709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4710</v>
      </c>
      <c r="B1585" t="s">
        <v>4711</v>
      </c>
      <c r="C1585" t="s">
        <v>4712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4713</v>
      </c>
      <c r="B1586" t="s">
        <v>4714</v>
      </c>
      <c r="C1586" t="s">
        <v>4715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4716</v>
      </c>
      <c r="B1587" t="s">
        <v>4717</v>
      </c>
      <c r="C1587" t="s">
        <v>4718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4719</v>
      </c>
      <c r="B1588" t="s">
        <v>4720</v>
      </c>
      <c r="C1588" t="s">
        <v>4721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4722</v>
      </c>
      <c r="B1589" t="s">
        <v>4723</v>
      </c>
      <c r="C1589" t="s">
        <v>4724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4725</v>
      </c>
      <c r="B1590" t="s">
        <v>4726</v>
      </c>
      <c r="C1590" t="s">
        <v>4727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4728</v>
      </c>
      <c r="B1591" t="s">
        <v>4729</v>
      </c>
      <c r="C1591" t="s">
        <v>4730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4731</v>
      </c>
      <c r="B1592" t="s">
        <v>4732</v>
      </c>
      <c r="C1592" t="s">
        <v>4733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4734</v>
      </c>
      <c r="B1593" t="s">
        <v>4735</v>
      </c>
      <c r="C1593" t="s">
        <v>4736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4737</v>
      </c>
      <c r="B1594" t="s">
        <v>4738</v>
      </c>
      <c r="C1594" t="s">
        <v>4739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4740</v>
      </c>
      <c r="B1595" t="s">
        <v>4741</v>
      </c>
      <c r="C1595" t="s">
        <v>4742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4743</v>
      </c>
      <c r="B1596" t="s">
        <v>4744</v>
      </c>
      <c r="C1596" t="s">
        <v>4745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4746</v>
      </c>
      <c r="B1597" t="s">
        <v>4747</v>
      </c>
      <c r="C1597" t="s">
        <v>4748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4749</v>
      </c>
      <c r="B1598" t="s">
        <v>4750</v>
      </c>
      <c r="C1598" t="s">
        <v>4751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4752</v>
      </c>
      <c r="B1599" t="s">
        <v>4753</v>
      </c>
      <c r="C1599" t="s">
        <v>4754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4755</v>
      </c>
      <c r="B1600" t="s">
        <v>4756</v>
      </c>
      <c r="C1600" t="s">
        <v>4757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4758</v>
      </c>
      <c r="B1601" t="s">
        <v>4759</v>
      </c>
      <c r="C1601" t="s">
        <v>4760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4761</v>
      </c>
      <c r="B1602" t="s">
        <v>4762</v>
      </c>
      <c r="C1602" t="s">
        <v>4763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4764</v>
      </c>
      <c r="B1603" t="s">
        <v>4765</v>
      </c>
      <c r="C1603" t="s">
        <v>4766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4767</v>
      </c>
      <c r="B1604" t="s">
        <v>4768</v>
      </c>
      <c r="C1604" t="s">
        <v>4769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4770</v>
      </c>
      <c r="B1605" t="s">
        <v>4771</v>
      </c>
      <c r="C1605" t="s">
        <v>4772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4773</v>
      </c>
      <c r="B1606" t="s">
        <v>4774</v>
      </c>
      <c r="C1606" t="s">
        <v>4775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4776</v>
      </c>
      <c r="B1607" t="s">
        <v>4777</v>
      </c>
      <c r="C1607" t="s">
        <v>4778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4779</v>
      </c>
      <c r="B1608" t="s">
        <v>4780</v>
      </c>
      <c r="C1608" t="s">
        <v>4781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4782</v>
      </c>
      <c r="B1609" t="s">
        <v>4783</v>
      </c>
      <c r="C1609" t="s">
        <v>4784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4785</v>
      </c>
      <c r="B1610" t="s">
        <v>4786</v>
      </c>
      <c r="C1610" t="s">
        <v>4787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4788</v>
      </c>
      <c r="B1611" t="s">
        <v>4789</v>
      </c>
      <c r="C1611" t="s">
        <v>4790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4791</v>
      </c>
      <c r="B1612" t="s">
        <v>4792</v>
      </c>
      <c r="C1612" t="s">
        <v>4793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4794</v>
      </c>
      <c r="B1613" t="s">
        <v>4795</v>
      </c>
      <c r="C1613" t="s">
        <v>4796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4797</v>
      </c>
      <c r="B1614" t="s">
        <v>4798</v>
      </c>
      <c r="C1614" t="s">
        <v>4799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4800</v>
      </c>
      <c r="B1615" t="s">
        <v>4801</v>
      </c>
      <c r="C1615" t="s">
        <v>4802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4803</v>
      </c>
      <c r="B1616" t="s">
        <v>4804</v>
      </c>
      <c r="C1616" t="s">
        <v>4805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4806</v>
      </c>
      <c r="B1617" t="s">
        <v>4807</v>
      </c>
      <c r="C1617" t="s">
        <v>4808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4809</v>
      </c>
      <c r="B1618" t="s">
        <v>4810</v>
      </c>
      <c r="C1618" t="s">
        <v>4811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4812</v>
      </c>
      <c r="B1619" t="s">
        <v>4813</v>
      </c>
      <c r="C1619" t="s">
        <v>4814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4815</v>
      </c>
      <c r="B1620" t="s">
        <v>4816</v>
      </c>
      <c r="C1620" t="s">
        <v>4817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4818</v>
      </c>
      <c r="B1621" t="s">
        <v>4819</v>
      </c>
      <c r="C1621" t="s">
        <v>4820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4821</v>
      </c>
      <c r="B1622" t="s">
        <v>4822</v>
      </c>
      <c r="C1622" t="s">
        <v>4823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4824</v>
      </c>
      <c r="B1623" t="s">
        <v>4825</v>
      </c>
      <c r="C1623" t="s">
        <v>4826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4827</v>
      </c>
      <c r="B1624" t="s">
        <v>4828</v>
      </c>
      <c r="C1624" t="s">
        <v>4829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4830</v>
      </c>
      <c r="B1625" t="s">
        <v>4831</v>
      </c>
      <c r="C1625" t="s">
        <v>4832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4833</v>
      </c>
      <c r="B1626" t="s">
        <v>4834</v>
      </c>
      <c r="C1626" t="s">
        <v>4835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4836</v>
      </c>
      <c r="B1627" t="s">
        <v>4837</v>
      </c>
      <c r="C1627" t="s">
        <v>4838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4839</v>
      </c>
      <c r="B1628" t="s">
        <v>4840</v>
      </c>
      <c r="C1628" t="s">
        <v>4841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4842</v>
      </c>
      <c r="B1629" t="s">
        <v>4843</v>
      </c>
      <c r="C1629" t="s">
        <v>4844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4845</v>
      </c>
      <c r="B1630" t="s">
        <v>4846</v>
      </c>
      <c r="C1630" t="s">
        <v>4847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4848</v>
      </c>
      <c r="B1631" t="s">
        <v>4849</v>
      </c>
      <c r="C1631" t="s">
        <v>4850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4851</v>
      </c>
      <c r="B1632" t="s">
        <v>4852</v>
      </c>
      <c r="C1632" t="s">
        <v>4853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4854</v>
      </c>
      <c r="B1633" t="s">
        <v>4855</v>
      </c>
      <c r="C1633" t="s">
        <v>4856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4857</v>
      </c>
      <c r="B1634" t="s">
        <v>4858</v>
      </c>
      <c r="C1634" t="s">
        <v>4859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4860</v>
      </c>
      <c r="B1635" t="s">
        <v>4861</v>
      </c>
      <c r="C1635" t="s">
        <v>4862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4863</v>
      </c>
      <c r="B1636" t="s">
        <v>4864</v>
      </c>
      <c r="C1636" t="s">
        <v>4865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4866</v>
      </c>
      <c r="B1637" t="s">
        <v>4867</v>
      </c>
      <c r="C1637" t="s">
        <v>4868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4869</v>
      </c>
      <c r="B1638" t="s">
        <v>4870</v>
      </c>
      <c r="C1638" t="s">
        <v>4871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4872</v>
      </c>
      <c r="B1639" t="s">
        <v>4873</v>
      </c>
      <c r="C1639" t="s">
        <v>4874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4875</v>
      </c>
      <c r="B1640" t="s">
        <v>4876</v>
      </c>
      <c r="C1640" t="s">
        <v>4877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4878</v>
      </c>
      <c r="B1641" t="s">
        <v>4879</v>
      </c>
      <c r="C1641" t="s">
        <v>4880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4881</v>
      </c>
      <c r="B1642" t="s">
        <v>4882</v>
      </c>
      <c r="C1642" t="s">
        <v>4883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4884</v>
      </c>
      <c r="B1643" t="s">
        <v>4885</v>
      </c>
      <c r="C1643" t="s">
        <v>4886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4887</v>
      </c>
      <c r="B1644" t="s">
        <v>4888</v>
      </c>
      <c r="C1644" t="s">
        <v>4889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4890</v>
      </c>
      <c r="B1645" t="s">
        <v>4891</v>
      </c>
      <c r="C1645" t="s">
        <v>4892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4893</v>
      </c>
      <c r="B1646" t="s">
        <v>4894</v>
      </c>
      <c r="C1646" t="s">
        <v>4895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4896</v>
      </c>
      <c r="B1647" t="s">
        <v>4897</v>
      </c>
      <c r="C1647" t="s">
        <v>4898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4899</v>
      </c>
      <c r="B1648" t="s">
        <v>4900</v>
      </c>
      <c r="C1648" t="s">
        <v>4901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4902</v>
      </c>
      <c r="B1649" t="s">
        <v>4903</v>
      </c>
      <c r="C1649" t="s">
        <v>4904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4905</v>
      </c>
      <c r="B1650" t="s">
        <v>4906</v>
      </c>
      <c r="C1650" t="s">
        <v>4907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4908</v>
      </c>
      <c r="B1651" t="s">
        <v>4909</v>
      </c>
      <c r="C1651" t="s">
        <v>4910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4911</v>
      </c>
      <c r="B1652" t="s">
        <v>4912</v>
      </c>
      <c r="C1652" t="s">
        <v>4913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4914</v>
      </c>
      <c r="B1653" t="s">
        <v>4915</v>
      </c>
      <c r="C1653" t="s">
        <v>4916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4917</v>
      </c>
      <c r="B1654" t="s">
        <v>4918</v>
      </c>
      <c r="C1654" t="s">
        <v>4919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4920</v>
      </c>
      <c r="B1655" t="s">
        <v>4921</v>
      </c>
      <c r="C1655" t="s">
        <v>4922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4923</v>
      </c>
      <c r="B1656" t="s">
        <v>4924</v>
      </c>
      <c r="C1656" t="s">
        <v>4925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4926</v>
      </c>
      <c r="B1657" t="s">
        <v>4927</v>
      </c>
      <c r="C1657" t="s">
        <v>4928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4929</v>
      </c>
      <c r="B1658" t="s">
        <v>4930</v>
      </c>
      <c r="C1658" t="s">
        <v>4931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4932</v>
      </c>
      <c r="B1659" t="s">
        <v>4933</v>
      </c>
      <c r="C1659" t="s">
        <v>4934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4935</v>
      </c>
      <c r="B1660" t="s">
        <v>4936</v>
      </c>
      <c r="C1660" t="s">
        <v>4937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4938</v>
      </c>
      <c r="B1661" t="s">
        <v>4939</v>
      </c>
      <c r="C1661" t="s">
        <v>4940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4941</v>
      </c>
      <c r="B1662" t="s">
        <v>4942</v>
      </c>
      <c r="C1662" t="s">
        <v>4943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4944</v>
      </c>
      <c r="B1663" t="s">
        <v>4945</v>
      </c>
      <c r="C1663" t="s">
        <v>4946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4947</v>
      </c>
      <c r="B1664" t="s">
        <v>4948</v>
      </c>
      <c r="C1664" t="s">
        <v>4949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4950</v>
      </c>
      <c r="B1665" t="s">
        <v>4951</v>
      </c>
      <c r="C1665" t="s">
        <v>4952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4953</v>
      </c>
      <c r="B1666" t="s">
        <v>4954</v>
      </c>
      <c r="C1666" t="s">
        <v>4955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4956</v>
      </c>
      <c r="B1667" t="s">
        <v>4957</v>
      </c>
      <c r="C1667" t="s">
        <v>4958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4959</v>
      </c>
      <c r="B1668" t="s">
        <v>4960</v>
      </c>
      <c r="C1668" t="s">
        <v>4961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4962</v>
      </c>
      <c r="B1669" t="s">
        <v>4963</v>
      </c>
      <c r="C1669" t="s">
        <v>4964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4965</v>
      </c>
      <c r="B1670" t="s">
        <v>4966</v>
      </c>
      <c r="C1670" t="s">
        <v>4967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4968</v>
      </c>
      <c r="B1671" t="s">
        <v>4969</v>
      </c>
      <c r="C1671" t="s">
        <v>4970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4971</v>
      </c>
      <c r="B1672" t="s">
        <v>4972</v>
      </c>
      <c r="C1672" t="s">
        <v>4973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4974</v>
      </c>
      <c r="B1673" t="s">
        <v>4975</v>
      </c>
      <c r="C1673" t="s">
        <v>4976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4977</v>
      </c>
      <c r="B1674" t="s">
        <v>4978</v>
      </c>
      <c r="C1674" t="s">
        <v>4979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4980</v>
      </c>
      <c r="B1675" t="s">
        <v>4981</v>
      </c>
      <c r="C1675" t="s">
        <v>4982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4983</v>
      </c>
      <c r="B1676" t="s">
        <v>4984</v>
      </c>
      <c r="C1676" t="s">
        <v>4985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4986</v>
      </c>
      <c r="B1677" t="s">
        <v>4987</v>
      </c>
      <c r="C1677" t="s">
        <v>4988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4989</v>
      </c>
      <c r="B1678" t="s">
        <v>4990</v>
      </c>
      <c r="C1678" t="s">
        <v>4991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4992</v>
      </c>
      <c r="B1679" t="s">
        <v>4993</v>
      </c>
      <c r="C1679" t="s">
        <v>4994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4995</v>
      </c>
      <c r="B1680" t="s">
        <v>4996</v>
      </c>
      <c r="C1680" t="s">
        <v>4997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4998</v>
      </c>
      <c r="B1681" t="s">
        <v>4999</v>
      </c>
      <c r="C1681" t="s">
        <v>5000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5001</v>
      </c>
      <c r="B1682" t="s">
        <v>5002</v>
      </c>
      <c r="C1682" t="s">
        <v>5003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5004</v>
      </c>
      <c r="B1683" t="s">
        <v>5005</v>
      </c>
      <c r="C1683" t="s">
        <v>5006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5007</v>
      </c>
      <c r="B1684" t="s">
        <v>5008</v>
      </c>
      <c r="C1684" t="s">
        <v>5009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5010</v>
      </c>
      <c r="B1685" t="s">
        <v>5011</v>
      </c>
      <c r="C1685" t="s">
        <v>5012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5013</v>
      </c>
      <c r="B1686" t="s">
        <v>5014</v>
      </c>
      <c r="C1686" t="s">
        <v>5015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5016</v>
      </c>
      <c r="B1687" t="s">
        <v>5017</v>
      </c>
      <c r="C1687" t="s">
        <v>5018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5019</v>
      </c>
      <c r="B1688" t="s">
        <v>5020</v>
      </c>
      <c r="C1688" t="s">
        <v>5021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5022</v>
      </c>
      <c r="B1689" t="s">
        <v>5023</v>
      </c>
      <c r="C1689" t="s">
        <v>5024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5025</v>
      </c>
      <c r="B1690" t="s">
        <v>5026</v>
      </c>
      <c r="C1690" t="s">
        <v>5027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5028</v>
      </c>
      <c r="B1691" t="s">
        <v>5029</v>
      </c>
      <c r="C1691" t="s">
        <v>5030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5031</v>
      </c>
      <c r="B1692" t="s">
        <v>5032</v>
      </c>
      <c r="C1692" t="s">
        <v>5033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5034</v>
      </c>
      <c r="B1693" t="s">
        <v>5035</v>
      </c>
      <c r="C1693" t="s">
        <v>5036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5037</v>
      </c>
      <c r="B1694" t="s">
        <v>5038</v>
      </c>
      <c r="C1694" t="s">
        <v>5039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5040</v>
      </c>
      <c r="B1695" t="s">
        <v>5041</v>
      </c>
      <c r="C1695" t="s">
        <v>5042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5043</v>
      </c>
      <c r="B1696" t="s">
        <v>5044</v>
      </c>
      <c r="C1696" t="s">
        <v>5045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5046</v>
      </c>
      <c r="B1697" t="s">
        <v>5047</v>
      </c>
      <c r="C1697" t="s">
        <v>5048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5049</v>
      </c>
      <c r="B1698" t="s">
        <v>5050</v>
      </c>
      <c r="C1698" t="s">
        <v>5051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5052</v>
      </c>
      <c r="B1699" t="s">
        <v>5053</v>
      </c>
      <c r="C1699" t="s">
        <v>5054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5055</v>
      </c>
      <c r="B1700" t="s">
        <v>5056</v>
      </c>
      <c r="C1700" t="s">
        <v>5057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5058</v>
      </c>
      <c r="B1701" t="s">
        <v>5059</v>
      </c>
      <c r="C1701" t="s">
        <v>5060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5061</v>
      </c>
      <c r="B1702" t="s">
        <v>5062</v>
      </c>
      <c r="C1702" t="s">
        <v>5063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5064</v>
      </c>
      <c r="B1703" t="s">
        <v>5065</v>
      </c>
      <c r="C1703" t="s">
        <v>5066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5067</v>
      </c>
      <c r="B1704" t="s">
        <v>5068</v>
      </c>
      <c r="C1704" t="s">
        <v>5069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5070</v>
      </c>
      <c r="B1705" t="s">
        <v>5071</v>
      </c>
      <c r="C1705" t="s">
        <v>5072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5073</v>
      </c>
      <c r="B1706" t="s">
        <v>5071</v>
      </c>
      <c r="C1706" t="s">
        <v>5074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5075</v>
      </c>
      <c r="B1707" t="s">
        <v>5076</v>
      </c>
      <c r="C1707" t="s">
        <v>5077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5078</v>
      </c>
      <c r="B1708" t="s">
        <v>5079</v>
      </c>
      <c r="C1708" t="s">
        <v>5080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5081</v>
      </c>
      <c r="B1709" t="s">
        <v>5082</v>
      </c>
      <c r="C1709" t="s">
        <v>5083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5084</v>
      </c>
      <c r="B1710" t="s">
        <v>5085</v>
      </c>
      <c r="C1710" t="s">
        <v>5086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5087</v>
      </c>
      <c r="B1711" t="s">
        <v>5088</v>
      </c>
      <c r="C1711" t="s">
        <v>5089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5090</v>
      </c>
      <c r="B1712" t="s">
        <v>5091</v>
      </c>
      <c r="C1712" t="s">
        <v>5092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5093</v>
      </c>
      <c r="B1713" t="s">
        <v>5094</v>
      </c>
      <c r="C1713" t="s">
        <v>5095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5096</v>
      </c>
      <c r="B1714" t="s">
        <v>5097</v>
      </c>
      <c r="C1714" t="s">
        <v>5098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5099</v>
      </c>
      <c r="B1715" t="s">
        <v>5100</v>
      </c>
      <c r="C1715" t="s">
        <v>5101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5102</v>
      </c>
      <c r="B1716" t="s">
        <v>5103</v>
      </c>
      <c r="C1716" t="s">
        <v>5104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5105</v>
      </c>
      <c r="B1717" t="s">
        <v>5106</v>
      </c>
      <c r="C1717" t="s">
        <v>5107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5108</v>
      </c>
      <c r="B1718" t="s">
        <v>5109</v>
      </c>
      <c r="C1718" t="s">
        <v>5110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5111</v>
      </c>
      <c r="B1719" t="s">
        <v>5112</v>
      </c>
      <c r="C1719" t="s">
        <v>5113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5114</v>
      </c>
      <c r="B1720" t="s">
        <v>5115</v>
      </c>
      <c r="C1720" t="s">
        <v>5116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5117</v>
      </c>
      <c r="B1721" t="s">
        <v>5118</v>
      </c>
      <c r="C1721" t="s">
        <v>5119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5120</v>
      </c>
      <c r="B1722" t="s">
        <v>5121</v>
      </c>
      <c r="C1722" t="s">
        <v>5122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5123</v>
      </c>
      <c r="B1723" t="s">
        <v>5124</v>
      </c>
      <c r="C1723" t="s">
        <v>5125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5126</v>
      </c>
      <c r="B1724" t="s">
        <v>5127</v>
      </c>
      <c r="C1724" t="s">
        <v>5128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5129</v>
      </c>
      <c r="B1725" t="s">
        <v>5130</v>
      </c>
      <c r="C1725" t="s">
        <v>5131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5132</v>
      </c>
      <c r="B1726" t="s">
        <v>5133</v>
      </c>
      <c r="C1726" t="s">
        <v>5134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5135</v>
      </c>
      <c r="B1727" t="s">
        <v>5136</v>
      </c>
      <c r="C1727" t="s">
        <v>5137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5138</v>
      </c>
      <c r="B1728" t="s">
        <v>5139</v>
      </c>
      <c r="C1728" t="s">
        <v>5140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5141</v>
      </c>
      <c r="B1729" t="s">
        <v>5142</v>
      </c>
      <c r="C1729" t="s">
        <v>5143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5144</v>
      </c>
      <c r="B1730" t="s">
        <v>5145</v>
      </c>
      <c r="C1730" t="s">
        <v>5146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5147</v>
      </c>
      <c r="B1731" t="s">
        <v>5145</v>
      </c>
      <c r="C1731" t="s">
        <v>5148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5149</v>
      </c>
      <c r="B1732" t="s">
        <v>5150</v>
      </c>
      <c r="C1732" t="s">
        <v>5151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5152</v>
      </c>
      <c r="B1733" t="s">
        <v>5153</v>
      </c>
      <c r="C1733" t="s">
        <v>5154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5155</v>
      </c>
      <c r="B1734" t="s">
        <v>5156</v>
      </c>
      <c r="C1734" t="s">
        <v>5157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5158</v>
      </c>
      <c r="B1735" t="s">
        <v>5159</v>
      </c>
      <c r="C1735" t="s">
        <v>5160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5161</v>
      </c>
      <c r="B1736" t="s">
        <v>5162</v>
      </c>
      <c r="C1736" t="s">
        <v>5163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5164</v>
      </c>
      <c r="B1737" t="s">
        <v>5165</v>
      </c>
      <c r="C1737" t="s">
        <v>5166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5167</v>
      </c>
      <c r="B1738" t="s">
        <v>5168</v>
      </c>
      <c r="C1738" t="s">
        <v>5169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5170</v>
      </c>
      <c r="B1739" t="s">
        <v>5171</v>
      </c>
      <c r="C1739" t="s">
        <v>5172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5173</v>
      </c>
      <c r="B1740" t="s">
        <v>5174</v>
      </c>
      <c r="C1740" t="s">
        <v>5175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5176</v>
      </c>
      <c r="B1741" t="s">
        <v>5177</v>
      </c>
      <c r="C1741" t="s">
        <v>5178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5179</v>
      </c>
      <c r="B1742" t="s">
        <v>5180</v>
      </c>
      <c r="C1742" t="s">
        <v>5181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5182</v>
      </c>
      <c r="B1743" t="s">
        <v>5183</v>
      </c>
      <c r="C1743" t="s">
        <v>5184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5185</v>
      </c>
      <c r="B1744" t="s">
        <v>5186</v>
      </c>
      <c r="C1744" t="s">
        <v>5187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5188</v>
      </c>
      <c r="B1745" t="s">
        <v>5189</v>
      </c>
      <c r="C1745" t="s">
        <v>5190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5191</v>
      </c>
      <c r="B1746" t="s">
        <v>5192</v>
      </c>
      <c r="C1746" t="s">
        <v>5193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5194</v>
      </c>
      <c r="B1747" t="s">
        <v>5195</v>
      </c>
      <c r="C1747" t="s">
        <v>5196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5197</v>
      </c>
      <c r="B1748" t="s">
        <v>5198</v>
      </c>
      <c r="C1748" t="s">
        <v>5199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5200</v>
      </c>
      <c r="B1749" t="s">
        <v>5201</v>
      </c>
      <c r="C1749" t="s">
        <v>5202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5203</v>
      </c>
      <c r="B1750" t="s">
        <v>5204</v>
      </c>
      <c r="C1750" t="s">
        <v>5205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5206</v>
      </c>
      <c r="B1751" t="s">
        <v>5207</v>
      </c>
      <c r="C1751" t="s">
        <v>5208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5209</v>
      </c>
      <c r="B1752" t="s">
        <v>5210</v>
      </c>
      <c r="C1752" t="s">
        <v>5211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5212</v>
      </c>
      <c r="B1753" t="s">
        <v>5213</v>
      </c>
      <c r="C1753" t="s">
        <v>5214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5215</v>
      </c>
      <c r="B1754" t="s">
        <v>5216</v>
      </c>
      <c r="C1754" t="s">
        <v>5217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5218</v>
      </c>
      <c r="B1755" t="s">
        <v>5219</v>
      </c>
      <c r="C1755" t="s">
        <v>5220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5221</v>
      </c>
      <c r="B1756" t="s">
        <v>5222</v>
      </c>
      <c r="C1756" t="s">
        <v>5223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5224</v>
      </c>
      <c r="B1757" t="s">
        <v>5225</v>
      </c>
      <c r="C1757" t="s">
        <v>5226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5227</v>
      </c>
      <c r="B1758" t="s">
        <v>5228</v>
      </c>
      <c r="C1758" t="s">
        <v>5229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5230</v>
      </c>
      <c r="B1759" t="s">
        <v>5231</v>
      </c>
      <c r="C1759" t="s">
        <v>5232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5233</v>
      </c>
      <c r="B1760" t="s">
        <v>5234</v>
      </c>
      <c r="C1760" t="s">
        <v>5235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5236</v>
      </c>
      <c r="B1761" t="s">
        <v>5237</v>
      </c>
      <c r="C1761" t="s">
        <v>5238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5239</v>
      </c>
      <c r="B1762" t="s">
        <v>5240</v>
      </c>
      <c r="C1762" t="s">
        <v>5241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5242</v>
      </c>
      <c r="B1763" t="s">
        <v>5243</v>
      </c>
      <c r="C1763" t="s">
        <v>5244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5245</v>
      </c>
      <c r="B1764" t="s">
        <v>5246</v>
      </c>
      <c r="C1764" t="s">
        <v>5247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5248</v>
      </c>
      <c r="B1765" t="s">
        <v>5249</v>
      </c>
      <c r="C1765" t="s">
        <v>5250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5251</v>
      </c>
      <c r="B1766" t="s">
        <v>5252</v>
      </c>
      <c r="C1766" t="s">
        <v>5253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5254</v>
      </c>
      <c r="B1767" t="s">
        <v>5255</v>
      </c>
      <c r="C1767" t="s">
        <v>5256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5257</v>
      </c>
      <c r="B1768" t="s">
        <v>5258</v>
      </c>
      <c r="C1768" t="s">
        <v>5259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5260</v>
      </c>
      <c r="B1769" t="s">
        <v>5261</v>
      </c>
      <c r="C1769" t="s">
        <v>5262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5263</v>
      </c>
      <c r="B1770" t="s">
        <v>5264</v>
      </c>
      <c r="C1770" t="s">
        <v>5265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5266</v>
      </c>
      <c r="B1771" t="s">
        <v>5267</v>
      </c>
      <c r="C1771" t="s">
        <v>5268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5269</v>
      </c>
      <c r="B1772" t="s">
        <v>5270</v>
      </c>
      <c r="C1772" t="s">
        <v>5271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5272</v>
      </c>
      <c r="B1773" t="s">
        <v>5273</v>
      </c>
      <c r="C1773" t="s">
        <v>5274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5275</v>
      </c>
      <c r="B1774" t="s">
        <v>5276</v>
      </c>
      <c r="C1774" t="s">
        <v>5277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5278</v>
      </c>
      <c r="B1775" t="s">
        <v>5279</v>
      </c>
      <c r="C1775" t="s">
        <v>5280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5281</v>
      </c>
      <c r="B1776" t="s">
        <v>5282</v>
      </c>
      <c r="C1776" t="s">
        <v>5283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5284</v>
      </c>
      <c r="B1777" t="s">
        <v>5285</v>
      </c>
      <c r="C1777" t="s">
        <v>5286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5287</v>
      </c>
      <c r="B1778" t="s">
        <v>5288</v>
      </c>
      <c r="C1778" t="s">
        <v>5289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5290</v>
      </c>
      <c r="B1779" t="s">
        <v>5291</v>
      </c>
      <c r="C1779" t="s">
        <v>5292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5293</v>
      </c>
      <c r="B1780" t="s">
        <v>5294</v>
      </c>
      <c r="C1780" t="s">
        <v>5295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5296</v>
      </c>
      <c r="B1781" t="s">
        <v>5297</v>
      </c>
      <c r="C1781" t="s">
        <v>5298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5299</v>
      </c>
      <c r="B1782" t="s">
        <v>5300</v>
      </c>
      <c r="C1782" t="s">
        <v>5301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5302</v>
      </c>
      <c r="B1783" t="s">
        <v>5303</v>
      </c>
      <c r="C1783" t="s">
        <v>5304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5305</v>
      </c>
      <c r="B1784" t="s">
        <v>5306</v>
      </c>
      <c r="C1784" t="s">
        <v>5307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5308</v>
      </c>
      <c r="B1785" t="s">
        <v>5309</v>
      </c>
      <c r="C1785" t="s">
        <v>5310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5311</v>
      </c>
      <c r="B1786" t="s">
        <v>5312</v>
      </c>
      <c r="C1786" t="s">
        <v>5313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5314</v>
      </c>
      <c r="B1787" t="s">
        <v>5315</v>
      </c>
      <c r="C1787" t="s">
        <v>5316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5317</v>
      </c>
      <c r="B1788" t="s">
        <v>5318</v>
      </c>
      <c r="C1788" t="s">
        <v>5319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5320</v>
      </c>
      <c r="B1789" t="s">
        <v>5321</v>
      </c>
      <c r="C1789" t="s">
        <v>5322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5323</v>
      </c>
      <c r="B1790" t="s">
        <v>5324</v>
      </c>
      <c r="C1790" t="s">
        <v>5325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5326</v>
      </c>
      <c r="B1791" t="s">
        <v>5327</v>
      </c>
      <c r="C1791" t="s">
        <v>5328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5329</v>
      </c>
      <c r="B1792" t="s">
        <v>5330</v>
      </c>
      <c r="C1792" t="s">
        <v>5331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5332</v>
      </c>
      <c r="B1793" t="s">
        <v>5333</v>
      </c>
      <c r="C1793" t="s">
        <v>5334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5335</v>
      </c>
      <c r="B1794" t="s">
        <v>5336</v>
      </c>
      <c r="C1794" t="s">
        <v>5337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5338</v>
      </c>
      <c r="B1795" t="s">
        <v>5339</v>
      </c>
      <c r="C1795" t="s">
        <v>5340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5341</v>
      </c>
      <c r="B1796" t="s">
        <v>5342</v>
      </c>
      <c r="C1796" t="s">
        <v>5343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5344</v>
      </c>
      <c r="B1797" t="s">
        <v>5345</v>
      </c>
      <c r="C1797" t="s">
        <v>5346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5347</v>
      </c>
      <c r="B1798" t="s">
        <v>5348</v>
      </c>
      <c r="C1798" t="s">
        <v>5349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5350</v>
      </c>
      <c r="B1799" t="s">
        <v>5351</v>
      </c>
      <c r="C1799" t="s">
        <v>5352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5353</v>
      </c>
      <c r="B1800" t="s">
        <v>5354</v>
      </c>
      <c r="C1800" t="s">
        <v>5355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5356</v>
      </c>
      <c r="B1801" t="s">
        <v>5357</v>
      </c>
      <c r="C1801" t="s">
        <v>5358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5359</v>
      </c>
      <c r="B1802" t="s">
        <v>5360</v>
      </c>
      <c r="C1802" t="s">
        <v>5361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5362</v>
      </c>
      <c r="B1803" t="s">
        <v>5363</v>
      </c>
      <c r="C1803" t="s">
        <v>5364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5365</v>
      </c>
      <c r="B1804" t="s">
        <v>5366</v>
      </c>
      <c r="C1804" t="s">
        <v>5367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5368</v>
      </c>
      <c r="B1805" t="s">
        <v>5369</v>
      </c>
      <c r="C1805" t="s">
        <v>5370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5371</v>
      </c>
      <c r="B1806" t="s">
        <v>5372</v>
      </c>
      <c r="C1806" t="s">
        <v>5373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5374</v>
      </c>
      <c r="B1807" t="s">
        <v>5375</v>
      </c>
      <c r="C1807" t="s">
        <v>5376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5377</v>
      </c>
      <c r="B1808" t="s">
        <v>5378</v>
      </c>
      <c r="C1808" t="s">
        <v>5379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5380</v>
      </c>
      <c r="B1809" t="s">
        <v>5381</v>
      </c>
      <c r="C1809" t="s">
        <v>5382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5383</v>
      </c>
      <c r="B1810" t="s">
        <v>5384</v>
      </c>
      <c r="C1810" t="s">
        <v>5385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5386</v>
      </c>
      <c r="B1811" t="s">
        <v>5387</v>
      </c>
      <c r="C1811" t="s">
        <v>5388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5389</v>
      </c>
      <c r="B1812" t="s">
        <v>5390</v>
      </c>
      <c r="C1812" t="s">
        <v>5391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5392</v>
      </c>
      <c r="B1813" t="s">
        <v>5393</v>
      </c>
      <c r="C1813" t="s">
        <v>5394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5395</v>
      </c>
      <c r="B1814" t="s">
        <v>5396</v>
      </c>
      <c r="C1814" t="s">
        <v>5397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5398</v>
      </c>
      <c r="B1815" t="s">
        <v>5399</v>
      </c>
      <c r="C1815" t="s">
        <v>5400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5401</v>
      </c>
      <c r="B1816" t="s">
        <v>5402</v>
      </c>
      <c r="C1816" t="s">
        <v>5403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5404</v>
      </c>
      <c r="B1817" t="s">
        <v>5405</v>
      </c>
      <c r="C1817" t="s">
        <v>5406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5407</v>
      </c>
      <c r="B1818" t="s">
        <v>5408</v>
      </c>
      <c r="C1818" t="s">
        <v>5409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5410</v>
      </c>
      <c r="B1819" t="s">
        <v>5411</v>
      </c>
      <c r="C1819" t="s">
        <v>5412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5413</v>
      </c>
      <c r="B1820" t="s">
        <v>5414</v>
      </c>
      <c r="C1820" t="s">
        <v>5415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5416</v>
      </c>
      <c r="B1821" t="s">
        <v>5417</v>
      </c>
      <c r="C1821" t="s">
        <v>5418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5419</v>
      </c>
      <c r="B1822" t="s">
        <v>5420</v>
      </c>
      <c r="C1822" t="s">
        <v>5421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5422</v>
      </c>
      <c r="B1823" t="s">
        <v>5423</v>
      </c>
      <c r="C1823" t="s">
        <v>5424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5425</v>
      </c>
      <c r="B1824" t="s">
        <v>5426</v>
      </c>
      <c r="C1824" t="s">
        <v>5427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5428</v>
      </c>
      <c r="B1825" t="s">
        <v>5429</v>
      </c>
      <c r="C1825" t="s">
        <v>5430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5431</v>
      </c>
      <c r="B1826" t="s">
        <v>5432</v>
      </c>
      <c r="C1826" t="s">
        <v>5433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5434</v>
      </c>
      <c r="B1827" t="s">
        <v>5435</v>
      </c>
      <c r="C1827" t="s">
        <v>5436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5437</v>
      </c>
      <c r="B1828" t="s">
        <v>5438</v>
      </c>
      <c r="C1828" t="s">
        <v>5439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5440</v>
      </c>
      <c r="B1829" t="s">
        <v>5441</v>
      </c>
      <c r="C1829" t="s">
        <v>5442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5443</v>
      </c>
      <c r="B1830" t="s">
        <v>5444</v>
      </c>
      <c r="C1830" t="s">
        <v>5445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5446</v>
      </c>
      <c r="B1831" t="s">
        <v>5447</v>
      </c>
      <c r="C1831" t="s">
        <v>5448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5449</v>
      </c>
      <c r="B1832" t="s">
        <v>5450</v>
      </c>
      <c r="C1832" t="s">
        <v>5451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5452</v>
      </c>
      <c r="B1833" t="s">
        <v>5453</v>
      </c>
      <c r="C1833" t="s">
        <v>5454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5455</v>
      </c>
      <c r="B1834" t="s">
        <v>5456</v>
      </c>
      <c r="C1834" t="s">
        <v>5457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5458</v>
      </c>
      <c r="B1835" t="s">
        <v>5459</v>
      </c>
      <c r="C1835" t="s">
        <v>5460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5461</v>
      </c>
      <c r="B1836" t="s">
        <v>5462</v>
      </c>
      <c r="C1836" t="s">
        <v>5463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5464</v>
      </c>
      <c r="B1837" t="s">
        <v>5465</v>
      </c>
      <c r="C1837" t="s">
        <v>5466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5467</v>
      </c>
      <c r="B1838" t="s">
        <v>5468</v>
      </c>
      <c r="C1838" t="s">
        <v>5469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5470</v>
      </c>
      <c r="B1839" t="s">
        <v>5471</v>
      </c>
      <c r="C1839" t="s">
        <v>5472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5473</v>
      </c>
      <c r="B1840" t="s">
        <v>5474</v>
      </c>
      <c r="C1840" t="s">
        <v>5475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5476</v>
      </c>
      <c r="B1841" t="s">
        <v>5477</v>
      </c>
      <c r="C1841" t="s">
        <v>5478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5479</v>
      </c>
      <c r="B1842" t="s">
        <v>5480</v>
      </c>
      <c r="C1842" t="s">
        <v>5481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5482</v>
      </c>
      <c r="B1843" t="s">
        <v>5483</v>
      </c>
      <c r="C1843" t="s">
        <v>5484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5485</v>
      </c>
      <c r="B1844" t="s">
        <v>5486</v>
      </c>
      <c r="C1844" t="s">
        <v>5487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5488</v>
      </c>
      <c r="B1845" t="s">
        <v>5489</v>
      </c>
      <c r="C1845" t="s">
        <v>5490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5491</v>
      </c>
      <c r="B1846" t="s">
        <v>5492</v>
      </c>
      <c r="C1846" t="s">
        <v>5493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5494</v>
      </c>
      <c r="B1847" t="s">
        <v>5495</v>
      </c>
      <c r="C1847" t="s">
        <v>5496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5497</v>
      </c>
      <c r="B1848" t="s">
        <v>5498</v>
      </c>
      <c r="C1848" t="s">
        <v>5499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5500</v>
      </c>
      <c r="B1849" t="s">
        <v>5501</v>
      </c>
      <c r="C1849" t="s">
        <v>5502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5503</v>
      </c>
      <c r="B1850" t="s">
        <v>5504</v>
      </c>
      <c r="C1850" t="s">
        <v>5505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5506</v>
      </c>
      <c r="B1851" t="s">
        <v>5507</v>
      </c>
      <c r="C1851" t="s">
        <v>5508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5509</v>
      </c>
      <c r="B1852" t="s">
        <v>5510</v>
      </c>
      <c r="C1852" t="s">
        <v>5511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5512</v>
      </c>
      <c r="B1853" t="s">
        <v>5513</v>
      </c>
      <c r="C1853" t="s">
        <v>5514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5515</v>
      </c>
      <c r="B1854" t="s">
        <v>5516</v>
      </c>
      <c r="C1854" t="s">
        <v>5517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5518</v>
      </c>
      <c r="B1855" t="s">
        <v>5519</v>
      </c>
      <c r="C1855" t="s">
        <v>5520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5521</v>
      </c>
      <c r="B1856" t="s">
        <v>5522</v>
      </c>
      <c r="C1856" t="s">
        <v>5523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5524</v>
      </c>
      <c r="B1857" t="s">
        <v>5525</v>
      </c>
      <c r="C1857" t="s">
        <v>5526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5527</v>
      </c>
      <c r="B1858" t="s">
        <v>5528</v>
      </c>
      <c r="C1858" t="s">
        <v>5529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5530</v>
      </c>
      <c r="B1859" t="s">
        <v>5531</v>
      </c>
      <c r="C1859" t="s">
        <v>5532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5533</v>
      </c>
      <c r="B1860" t="s">
        <v>5534</v>
      </c>
      <c r="C1860" t="s">
        <v>5535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5536</v>
      </c>
      <c r="B1861" t="s">
        <v>5537</v>
      </c>
      <c r="C1861" t="s">
        <v>5538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5539</v>
      </c>
      <c r="B1862" t="s">
        <v>5540</v>
      </c>
      <c r="C1862" t="s">
        <v>5541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5542</v>
      </c>
      <c r="B1863" t="s">
        <v>5543</v>
      </c>
      <c r="C1863" t="s">
        <v>5544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5545</v>
      </c>
      <c r="B1864" t="s">
        <v>5546</v>
      </c>
      <c r="C1864" t="s">
        <v>5547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5548</v>
      </c>
      <c r="B1865" t="s">
        <v>5549</v>
      </c>
      <c r="C1865" t="s">
        <v>5550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5551</v>
      </c>
      <c r="B1866" t="s">
        <v>5552</v>
      </c>
      <c r="C1866" t="s">
        <v>5553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5554</v>
      </c>
      <c r="B1867" t="s">
        <v>5555</v>
      </c>
      <c r="C1867" t="s">
        <v>5556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5557</v>
      </c>
      <c r="B1868" t="s">
        <v>5558</v>
      </c>
      <c r="C1868" t="s">
        <v>5559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5560</v>
      </c>
      <c r="B1869" t="s">
        <v>5561</v>
      </c>
      <c r="C1869" t="s">
        <v>5562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5563</v>
      </c>
      <c r="B1870" t="s">
        <v>5564</v>
      </c>
      <c r="C1870" t="s">
        <v>5565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5566</v>
      </c>
      <c r="B1871" t="s">
        <v>5567</v>
      </c>
      <c r="C1871" t="s">
        <v>5568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5569</v>
      </c>
      <c r="B1872" t="s">
        <v>5570</v>
      </c>
      <c r="C1872" t="s">
        <v>5571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5572</v>
      </c>
      <c r="B1873" t="s">
        <v>5573</v>
      </c>
      <c r="C1873" t="s">
        <v>5574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5575</v>
      </c>
      <c r="B1874" t="s">
        <v>5576</v>
      </c>
      <c r="C1874" t="s">
        <v>5577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5578</v>
      </c>
      <c r="B1875" t="s">
        <v>5579</v>
      </c>
      <c r="C1875" t="s">
        <v>5580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5581</v>
      </c>
      <c r="B1876" t="s">
        <v>5582</v>
      </c>
      <c r="C1876" t="s">
        <v>5583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5584</v>
      </c>
      <c r="B1877" t="s">
        <v>5585</v>
      </c>
      <c r="C1877" t="s">
        <v>5586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5587</v>
      </c>
      <c r="B1878" t="s">
        <v>5588</v>
      </c>
      <c r="C1878" t="s">
        <v>5589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5590</v>
      </c>
      <c r="B1879" t="s">
        <v>5591</v>
      </c>
      <c r="C1879" t="s">
        <v>5592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5593</v>
      </c>
      <c r="B1880" t="s">
        <v>5594</v>
      </c>
      <c r="C1880" t="s">
        <v>5595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5596</v>
      </c>
      <c r="B1881" t="s">
        <v>5594</v>
      </c>
      <c r="C1881" t="s">
        <v>5597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5598</v>
      </c>
      <c r="B1882" t="s">
        <v>5599</v>
      </c>
      <c r="C1882" t="s">
        <v>5600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5601</v>
      </c>
      <c r="B1883" t="s">
        <v>5602</v>
      </c>
      <c r="C1883" t="s">
        <v>5603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5604</v>
      </c>
      <c r="B1884" t="s">
        <v>5605</v>
      </c>
      <c r="C1884" t="s">
        <v>5606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5607</v>
      </c>
      <c r="B1885" t="s">
        <v>5608</v>
      </c>
      <c r="C1885" t="s">
        <v>5609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5610</v>
      </c>
      <c r="B1886" t="s">
        <v>5611</v>
      </c>
      <c r="C1886" t="s">
        <v>5612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5613</v>
      </c>
      <c r="B1887" t="s">
        <v>5614</v>
      </c>
      <c r="C1887" t="s">
        <v>5615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5616</v>
      </c>
      <c r="B1888" t="s">
        <v>5617</v>
      </c>
      <c r="C1888" t="s">
        <v>5618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5619</v>
      </c>
      <c r="B1889" t="s">
        <v>5620</v>
      </c>
      <c r="C1889" t="s">
        <v>5621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5622</v>
      </c>
      <c r="B1890" t="s">
        <v>5623</v>
      </c>
      <c r="C1890" t="s">
        <v>5624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5625</v>
      </c>
      <c r="B1891" t="s">
        <v>5626</v>
      </c>
      <c r="C1891" t="s">
        <v>5627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5628</v>
      </c>
      <c r="B1892" t="s">
        <v>5629</v>
      </c>
      <c r="C1892" t="s">
        <v>5630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5631</v>
      </c>
      <c r="B1893" t="s">
        <v>5632</v>
      </c>
      <c r="C1893" t="s">
        <v>5633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5634</v>
      </c>
      <c r="B1894" t="s">
        <v>5635</v>
      </c>
      <c r="C1894" t="s">
        <v>5636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5637</v>
      </c>
      <c r="B1895" t="s">
        <v>5638</v>
      </c>
      <c r="C1895" t="s">
        <v>5639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5640</v>
      </c>
      <c r="B1896" t="s">
        <v>5641</v>
      </c>
      <c r="C1896" t="s">
        <v>5642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5643</v>
      </c>
      <c r="B1897" t="s">
        <v>5644</v>
      </c>
      <c r="C1897" t="s">
        <v>5645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5646</v>
      </c>
      <c r="B1898" t="s">
        <v>5647</v>
      </c>
      <c r="C1898" t="s">
        <v>5648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5649</v>
      </c>
      <c r="B1899" t="s">
        <v>5650</v>
      </c>
      <c r="C1899" t="s">
        <v>5651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5652</v>
      </c>
      <c r="B1900" t="s">
        <v>5653</v>
      </c>
      <c r="C1900" t="s">
        <v>5654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5655</v>
      </c>
      <c r="B1901" t="s">
        <v>5656</v>
      </c>
      <c r="C1901" t="s">
        <v>5657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5658</v>
      </c>
      <c r="B1902" t="s">
        <v>5659</v>
      </c>
      <c r="C1902" t="s">
        <v>5660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5661</v>
      </c>
      <c r="B1903" t="s">
        <v>5662</v>
      </c>
      <c r="C1903" t="s">
        <v>5663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5664</v>
      </c>
      <c r="B1904" t="s">
        <v>5665</v>
      </c>
      <c r="C1904" t="s">
        <v>5666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5667</v>
      </c>
      <c r="B1905" t="s">
        <v>5668</v>
      </c>
      <c r="C1905" t="s">
        <v>5669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5670</v>
      </c>
      <c r="B1906" t="s">
        <v>5671</v>
      </c>
      <c r="C1906" t="s">
        <v>5672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5673</v>
      </c>
      <c r="B1907" t="s">
        <v>5674</v>
      </c>
      <c r="C1907" t="s">
        <v>5675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5676</v>
      </c>
      <c r="B1908" t="s">
        <v>5677</v>
      </c>
      <c r="C1908" t="s">
        <v>5678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5679</v>
      </c>
      <c r="B1909" t="s">
        <v>5680</v>
      </c>
      <c r="C1909" t="s">
        <v>5681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5682</v>
      </c>
      <c r="B1910" t="s">
        <v>5683</v>
      </c>
      <c r="C1910" t="s">
        <v>5684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5685</v>
      </c>
      <c r="B1911" t="s">
        <v>5686</v>
      </c>
      <c r="C1911" t="s">
        <v>5687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5688</v>
      </c>
      <c r="B1912" t="s">
        <v>5689</v>
      </c>
      <c r="C1912" t="s">
        <v>5690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5691</v>
      </c>
      <c r="B1913" t="s">
        <v>5692</v>
      </c>
      <c r="C1913" t="s">
        <v>5693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5694</v>
      </c>
      <c r="B1914" t="s">
        <v>5695</v>
      </c>
      <c r="C1914" t="s">
        <v>5696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5697</v>
      </c>
      <c r="B1915" t="s">
        <v>5698</v>
      </c>
      <c r="C1915" t="s">
        <v>5699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5700</v>
      </c>
      <c r="B1916" t="s">
        <v>5701</v>
      </c>
      <c r="C1916" t="s">
        <v>5702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5703</v>
      </c>
      <c r="B1917" t="s">
        <v>5704</v>
      </c>
      <c r="C1917" t="s">
        <v>5705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5706</v>
      </c>
      <c r="B1918" t="s">
        <v>5707</v>
      </c>
      <c r="C1918" t="s">
        <v>5708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5709</v>
      </c>
      <c r="B1919" t="s">
        <v>5710</v>
      </c>
      <c r="C1919" t="s">
        <v>5711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5712</v>
      </c>
      <c r="B1920" t="s">
        <v>5713</v>
      </c>
      <c r="C1920" t="s">
        <v>5714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5715</v>
      </c>
      <c r="B1921" t="s">
        <v>5716</v>
      </c>
      <c r="C1921" t="s">
        <v>5717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5718</v>
      </c>
      <c r="B1922" t="s">
        <v>5716</v>
      </c>
      <c r="C1922" t="s">
        <v>5719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5720</v>
      </c>
      <c r="B1923" t="s">
        <v>5721</v>
      </c>
      <c r="C1923" t="s">
        <v>5722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5723</v>
      </c>
      <c r="B1924" t="s">
        <v>5724</v>
      </c>
      <c r="C1924" t="s">
        <v>5725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5726</v>
      </c>
      <c r="B1925" t="s">
        <v>5727</v>
      </c>
      <c r="C1925" t="s">
        <v>5728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5729</v>
      </c>
      <c r="B1926" t="s">
        <v>5730</v>
      </c>
      <c r="C1926" t="s">
        <v>5731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5732</v>
      </c>
      <c r="B1927" t="s">
        <v>5733</v>
      </c>
      <c r="C1927" t="s">
        <v>5734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5735</v>
      </c>
      <c r="B1928" t="s">
        <v>5736</v>
      </c>
      <c r="C1928" t="s">
        <v>5737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5738</v>
      </c>
      <c r="B1929" t="s">
        <v>5739</v>
      </c>
      <c r="C1929" t="s">
        <v>5740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5741</v>
      </c>
      <c r="B1930" t="s">
        <v>5742</v>
      </c>
      <c r="C1930" t="s">
        <v>5743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5744</v>
      </c>
      <c r="B1931" t="s">
        <v>5745</v>
      </c>
      <c r="C1931" t="s">
        <v>5746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5747</v>
      </c>
      <c r="B1932" t="s">
        <v>5748</v>
      </c>
      <c r="C1932" t="s">
        <v>5749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5750</v>
      </c>
      <c r="B1933" t="s">
        <v>5751</v>
      </c>
      <c r="C1933" t="s">
        <v>5752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5753</v>
      </c>
      <c r="B1934" t="s">
        <v>5754</v>
      </c>
      <c r="C1934" t="s">
        <v>5755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5756</v>
      </c>
      <c r="B1935" t="s">
        <v>5757</v>
      </c>
      <c r="C1935" t="s">
        <v>5758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5759</v>
      </c>
      <c r="B1936" t="s">
        <v>5760</v>
      </c>
      <c r="C1936" t="s">
        <v>5761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5762</v>
      </c>
      <c r="B1937" t="s">
        <v>5763</v>
      </c>
      <c r="C1937" t="s">
        <v>5764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5765</v>
      </c>
      <c r="B1938" t="s">
        <v>5766</v>
      </c>
      <c r="C1938" t="s">
        <v>5767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5768</v>
      </c>
      <c r="B1939" t="s">
        <v>5769</v>
      </c>
      <c r="C1939" t="s">
        <v>5770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5771</v>
      </c>
      <c r="B1940" t="s">
        <v>5772</v>
      </c>
      <c r="C1940" t="s">
        <v>5773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5774</v>
      </c>
      <c r="B1941" t="s">
        <v>5775</v>
      </c>
      <c r="C1941" t="s">
        <v>5776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5777</v>
      </c>
      <c r="B1942" t="s">
        <v>5778</v>
      </c>
      <c r="C1942" t="s">
        <v>5779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5780</v>
      </c>
      <c r="B1943" t="s">
        <v>5781</v>
      </c>
      <c r="C1943" t="s">
        <v>5782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5783</v>
      </c>
      <c r="B1944" t="s">
        <v>5784</v>
      </c>
      <c r="C1944" t="s">
        <v>5785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5786</v>
      </c>
      <c r="B1945" t="s">
        <v>5787</v>
      </c>
      <c r="C1945" t="s">
        <v>5788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5789</v>
      </c>
      <c r="B1946" t="s">
        <v>5790</v>
      </c>
      <c r="C1946" t="s">
        <v>5791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5792</v>
      </c>
      <c r="B1947" t="s">
        <v>5793</v>
      </c>
      <c r="C1947" t="s">
        <v>5794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5795</v>
      </c>
      <c r="B1948" t="s">
        <v>5796</v>
      </c>
      <c r="C1948" t="s">
        <v>5797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5798</v>
      </c>
      <c r="B1949" t="s">
        <v>5799</v>
      </c>
      <c r="C1949" t="s">
        <v>5800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5801</v>
      </c>
      <c r="B1950" t="s">
        <v>5802</v>
      </c>
      <c r="C1950" t="s">
        <v>5803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5804</v>
      </c>
      <c r="B1951" t="s">
        <v>5805</v>
      </c>
      <c r="C1951" t="s">
        <v>5806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5807</v>
      </c>
      <c r="B1952" t="s">
        <v>5808</v>
      </c>
      <c r="C1952" t="s">
        <v>5809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5810</v>
      </c>
      <c r="B1953" t="s">
        <v>5811</v>
      </c>
      <c r="C1953" t="s">
        <v>5812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5813</v>
      </c>
      <c r="B1954" t="s">
        <v>5814</v>
      </c>
      <c r="C1954" t="s">
        <v>5815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5816</v>
      </c>
      <c r="B1955" t="s">
        <v>5817</v>
      </c>
      <c r="C1955" t="s">
        <v>5818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5819</v>
      </c>
      <c r="B1956" t="s">
        <v>5820</v>
      </c>
      <c r="C1956" t="s">
        <v>5821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5822</v>
      </c>
      <c r="B1957" t="s">
        <v>5823</v>
      </c>
      <c r="C1957" t="s">
        <v>5824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5825</v>
      </c>
      <c r="B1958" t="s">
        <v>5826</v>
      </c>
      <c r="C1958" t="s">
        <v>5827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5828</v>
      </c>
      <c r="B1959" t="s">
        <v>5829</v>
      </c>
      <c r="C1959" t="s">
        <v>5830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5831</v>
      </c>
      <c r="B1960" t="s">
        <v>5832</v>
      </c>
      <c r="C1960" t="s">
        <v>5833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5834</v>
      </c>
      <c r="B1961" t="s">
        <v>5835</v>
      </c>
      <c r="C1961" t="s">
        <v>5836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5837</v>
      </c>
      <c r="B1962" t="s">
        <v>5838</v>
      </c>
      <c r="C1962" t="s">
        <v>5839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5840</v>
      </c>
      <c r="B1963" t="s">
        <v>5841</v>
      </c>
      <c r="C1963" t="s">
        <v>5842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5843</v>
      </c>
      <c r="B1964" t="s">
        <v>5844</v>
      </c>
      <c r="C1964" t="s">
        <v>5845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5846</v>
      </c>
      <c r="B1965" t="s">
        <v>5847</v>
      </c>
      <c r="C1965" t="s">
        <v>5848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5849</v>
      </c>
      <c r="B1966" t="s">
        <v>5850</v>
      </c>
      <c r="C1966" t="s">
        <v>5851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5852</v>
      </c>
      <c r="B1967" t="s">
        <v>5853</v>
      </c>
      <c r="C1967" t="s">
        <v>5854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5855</v>
      </c>
      <c r="B1968" t="s">
        <v>5856</v>
      </c>
      <c r="C1968" t="s">
        <v>5857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5858</v>
      </c>
      <c r="B1969" t="s">
        <v>5859</v>
      </c>
      <c r="C1969" t="s">
        <v>5860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5861</v>
      </c>
      <c r="B1970" t="s">
        <v>5862</v>
      </c>
      <c r="C1970" t="s">
        <v>5863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5864</v>
      </c>
      <c r="B1971" t="s">
        <v>5865</v>
      </c>
      <c r="C1971" t="s">
        <v>5866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5867</v>
      </c>
      <c r="B1972" t="s">
        <v>5868</v>
      </c>
      <c r="C1972" t="s">
        <v>5869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5870</v>
      </c>
      <c r="B1973" t="s">
        <v>5871</v>
      </c>
      <c r="C1973" t="s">
        <v>5872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5873</v>
      </c>
      <c r="B1974" t="s">
        <v>5874</v>
      </c>
      <c r="C1974" t="s">
        <v>5875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5876</v>
      </c>
      <c r="B1975" t="s">
        <v>5877</v>
      </c>
      <c r="C1975" t="s">
        <v>5878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5879</v>
      </c>
      <c r="B1976" t="s">
        <v>5880</v>
      </c>
      <c r="C1976" t="s">
        <v>5881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5882</v>
      </c>
      <c r="B1977" t="s">
        <v>5883</v>
      </c>
      <c r="C1977" t="s">
        <v>5884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5885</v>
      </c>
      <c r="B1978" t="s">
        <v>5886</v>
      </c>
      <c r="C1978" t="s">
        <v>5887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5888</v>
      </c>
      <c r="B1979" t="s">
        <v>5889</v>
      </c>
      <c r="C1979" t="s">
        <v>5890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5888</v>
      </c>
      <c r="B1980" t="s">
        <v>5889</v>
      </c>
      <c r="C1980" t="s">
        <v>5891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5892</v>
      </c>
      <c r="B1981" t="s">
        <v>5893</v>
      </c>
      <c r="C1981" t="s">
        <v>5894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5895</v>
      </c>
      <c r="B1982" t="s">
        <v>5896</v>
      </c>
      <c r="C1982" t="s">
        <v>5897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5898</v>
      </c>
      <c r="B1983" t="s">
        <v>5899</v>
      </c>
      <c r="C1983" t="s">
        <v>5900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5901</v>
      </c>
      <c r="B1984" t="s">
        <v>5902</v>
      </c>
      <c r="C1984" t="s">
        <v>5903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5904</v>
      </c>
      <c r="B1985" t="s">
        <v>5905</v>
      </c>
      <c r="C1985" t="s">
        <v>5906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5907</v>
      </c>
      <c r="B1986" t="s">
        <v>5908</v>
      </c>
      <c r="C1986" t="s">
        <v>5909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5910</v>
      </c>
      <c r="B1987" t="s">
        <v>5911</v>
      </c>
      <c r="C1987" t="s">
        <v>5912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5913</v>
      </c>
      <c r="B1988" t="s">
        <v>5914</v>
      </c>
      <c r="C1988" t="s">
        <v>5915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5916</v>
      </c>
      <c r="B1989" t="s">
        <v>5917</v>
      </c>
      <c r="C1989" t="s">
        <v>5918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5919</v>
      </c>
      <c r="B1990" t="s">
        <v>5920</v>
      </c>
      <c r="C1990" t="s">
        <v>5921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5922</v>
      </c>
      <c r="B1991" t="s">
        <v>5923</v>
      </c>
      <c r="C1991" t="s">
        <v>5924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5925</v>
      </c>
      <c r="B1992" t="s">
        <v>5926</v>
      </c>
      <c r="C1992" t="s">
        <v>5927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5928</v>
      </c>
      <c r="B1993" t="s">
        <v>5929</v>
      </c>
      <c r="C1993" t="s">
        <v>5930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5931</v>
      </c>
      <c r="B1994" t="s">
        <v>5932</v>
      </c>
      <c r="C1994" t="s">
        <v>5933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5934</v>
      </c>
      <c r="B1995" t="s">
        <v>5935</v>
      </c>
      <c r="C1995" t="s">
        <v>5936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5937</v>
      </c>
      <c r="B1996" t="s">
        <v>5938</v>
      </c>
      <c r="C1996" t="s">
        <v>5939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5940</v>
      </c>
      <c r="B1997" t="s">
        <v>5941</v>
      </c>
      <c r="C1997" t="s">
        <v>5942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5943</v>
      </c>
      <c r="B1998" t="s">
        <v>5944</v>
      </c>
      <c r="C1998" t="s">
        <v>5945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5946</v>
      </c>
      <c r="B1999" t="s">
        <v>5947</v>
      </c>
      <c r="C1999" t="s">
        <v>5948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5949</v>
      </c>
      <c r="B2000" t="s">
        <v>5950</v>
      </c>
      <c r="C2000" t="s">
        <v>5951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5952</v>
      </c>
      <c r="B2001" t="s">
        <v>5953</v>
      </c>
      <c r="C2001" t="s">
        <v>5954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5955</v>
      </c>
      <c r="B2002" t="s">
        <v>5956</v>
      </c>
      <c r="C2002" t="s">
        <v>5957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5958</v>
      </c>
      <c r="B2003" t="s">
        <v>5959</v>
      </c>
      <c r="C2003" t="s">
        <v>5960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5961</v>
      </c>
      <c r="B2004" t="s">
        <v>5962</v>
      </c>
      <c r="C2004" t="s">
        <v>5963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5964</v>
      </c>
      <c r="B2005" t="s">
        <v>5965</v>
      </c>
      <c r="C2005" t="s">
        <v>5966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5967</v>
      </c>
      <c r="B2006" t="s">
        <v>5968</v>
      </c>
      <c r="C2006" t="s">
        <v>5969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5970</v>
      </c>
      <c r="B2007" t="s">
        <v>5971</v>
      </c>
      <c r="C2007" t="s">
        <v>5972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5973</v>
      </c>
      <c r="B2008" t="s">
        <v>5974</v>
      </c>
      <c r="C2008" t="s">
        <v>5975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5976</v>
      </c>
      <c r="B2009" t="s">
        <v>5977</v>
      </c>
      <c r="C2009" t="s">
        <v>5978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5979</v>
      </c>
      <c r="B2010" t="s">
        <v>5980</v>
      </c>
      <c r="C2010" t="s">
        <v>5981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5982</v>
      </c>
      <c r="B2011" t="s">
        <v>5983</v>
      </c>
      <c r="C2011" t="s">
        <v>5984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5985</v>
      </c>
      <c r="B2012" t="s">
        <v>5986</v>
      </c>
      <c r="C2012" t="s">
        <v>5987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5988</v>
      </c>
      <c r="B2013" t="s">
        <v>5989</v>
      </c>
      <c r="C2013" t="s">
        <v>5990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5991</v>
      </c>
      <c r="B2014" t="s">
        <v>5992</v>
      </c>
      <c r="C2014" t="s">
        <v>5993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5994</v>
      </c>
      <c r="B2015" t="s">
        <v>5995</v>
      </c>
      <c r="C2015" t="s">
        <v>5996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5997</v>
      </c>
      <c r="B2016" t="s">
        <v>5998</v>
      </c>
      <c r="C2016" t="s">
        <v>5999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6000</v>
      </c>
      <c r="B2017" t="s">
        <v>6001</v>
      </c>
      <c r="C2017" t="s">
        <v>6002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6003</v>
      </c>
      <c r="B2018" t="s">
        <v>6004</v>
      </c>
      <c r="C2018" t="s">
        <v>6005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6006</v>
      </c>
      <c r="B2019" t="s">
        <v>6007</v>
      </c>
      <c r="C2019" t="s">
        <v>6008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6009</v>
      </c>
      <c r="B2020" t="s">
        <v>6010</v>
      </c>
      <c r="C2020" t="s">
        <v>6011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6012</v>
      </c>
      <c r="B2021" t="s">
        <v>6013</v>
      </c>
      <c r="C2021" t="s">
        <v>6014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6015</v>
      </c>
      <c r="B2022" t="s">
        <v>6016</v>
      </c>
      <c r="C2022" t="s">
        <v>6017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6018</v>
      </c>
      <c r="B2023" t="s">
        <v>6019</v>
      </c>
      <c r="C2023" t="s">
        <v>6020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6021</v>
      </c>
      <c r="B2024" t="s">
        <v>6022</v>
      </c>
      <c r="C2024" t="s">
        <v>6023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6024</v>
      </c>
      <c r="B2025" t="s">
        <v>6025</v>
      </c>
      <c r="C2025" t="s">
        <v>6026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6027</v>
      </c>
      <c r="B2026" t="s">
        <v>6028</v>
      </c>
      <c r="C2026" t="s">
        <v>6029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6030</v>
      </c>
      <c r="B2027" t="s">
        <v>6031</v>
      </c>
      <c r="C2027" t="s">
        <v>6032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6033</v>
      </c>
      <c r="B2028" t="s">
        <v>6034</v>
      </c>
      <c r="C2028" t="s">
        <v>6035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6036</v>
      </c>
      <c r="B2029" t="s">
        <v>6037</v>
      </c>
      <c r="C2029" t="s">
        <v>6038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6039</v>
      </c>
      <c r="B2030" t="s">
        <v>6040</v>
      </c>
      <c r="C2030" t="s">
        <v>6041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6042</v>
      </c>
      <c r="B2031" t="s">
        <v>6043</v>
      </c>
      <c r="C2031" t="s">
        <v>6044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6045</v>
      </c>
      <c r="B2032" t="s">
        <v>6046</v>
      </c>
      <c r="C2032" t="s">
        <v>6047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6048</v>
      </c>
      <c r="B2033" t="s">
        <v>6049</v>
      </c>
      <c r="C2033" t="s">
        <v>6050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6051</v>
      </c>
      <c r="B2034" t="s">
        <v>6052</v>
      </c>
      <c r="C2034" t="s">
        <v>6053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6054</v>
      </c>
      <c r="B2035" t="s">
        <v>6055</v>
      </c>
      <c r="C2035" t="s">
        <v>6056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6057</v>
      </c>
      <c r="B2036" t="s">
        <v>6058</v>
      </c>
      <c r="C2036" t="s">
        <v>6059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6060</v>
      </c>
      <c r="B2037" t="s">
        <v>6061</v>
      </c>
      <c r="C2037" t="s">
        <v>6062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6063</v>
      </c>
      <c r="B2038" t="s">
        <v>6064</v>
      </c>
      <c r="C2038" t="s">
        <v>6065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6066</v>
      </c>
      <c r="B2039" t="s">
        <v>6067</v>
      </c>
      <c r="C2039" t="s">
        <v>6068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6069</v>
      </c>
      <c r="B2040" t="s">
        <v>6070</v>
      </c>
      <c r="C2040" t="s">
        <v>6071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6072</v>
      </c>
      <c r="B2041" t="s">
        <v>6073</v>
      </c>
      <c r="C2041" t="s">
        <v>6074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6075</v>
      </c>
      <c r="B2042" t="s">
        <v>6073</v>
      </c>
      <c r="C2042" t="s">
        <v>6076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6077</v>
      </c>
      <c r="B2043" t="s">
        <v>6073</v>
      </c>
      <c r="C2043" t="s">
        <v>6078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6079</v>
      </c>
      <c r="B2044" t="s">
        <v>6080</v>
      </c>
      <c r="C2044" t="s">
        <v>6081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6082</v>
      </c>
      <c r="B2045" t="s">
        <v>6080</v>
      </c>
      <c r="C2045" t="s">
        <v>6083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6084</v>
      </c>
      <c r="B2046" t="s">
        <v>6085</v>
      </c>
      <c r="C2046" t="s">
        <v>6086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6087</v>
      </c>
      <c r="B2047" t="s">
        <v>6088</v>
      </c>
      <c r="C2047" t="s">
        <v>6089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6090</v>
      </c>
      <c r="B2048" t="s">
        <v>6091</v>
      </c>
      <c r="C2048" t="s">
        <v>6092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6093</v>
      </c>
      <c r="B2049" t="s">
        <v>6094</v>
      </c>
      <c r="C2049" t="s">
        <v>6095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6093</v>
      </c>
      <c r="B2050" t="s">
        <v>6094</v>
      </c>
      <c r="C2050" t="s">
        <v>6096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6097</v>
      </c>
      <c r="B2051" t="s">
        <v>6098</v>
      </c>
      <c r="C2051" t="s">
        <v>6099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6100</v>
      </c>
      <c r="B2052" t="s">
        <v>6101</v>
      </c>
      <c r="C2052" t="s">
        <v>6102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6100</v>
      </c>
      <c r="B2053" t="s">
        <v>6101</v>
      </c>
      <c r="C2053" t="s">
        <v>6103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6104</v>
      </c>
      <c r="B2054" t="s">
        <v>6105</v>
      </c>
      <c r="C2054" t="s">
        <v>6106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6107</v>
      </c>
      <c r="B2055" t="s">
        <v>6108</v>
      </c>
      <c r="C2055" t="s">
        <v>6109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6110</v>
      </c>
      <c r="B2056" t="s">
        <v>6111</v>
      </c>
      <c r="C2056" t="s">
        <v>6112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6113</v>
      </c>
      <c r="B2057" t="s">
        <v>6114</v>
      </c>
      <c r="C2057" t="s">
        <v>6115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6116</v>
      </c>
      <c r="B2058" t="s">
        <v>6117</v>
      </c>
      <c r="C2058" t="s">
        <v>6118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6119</v>
      </c>
      <c r="B2059" t="s">
        <v>6120</v>
      </c>
      <c r="C2059" t="s">
        <v>6121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6122</v>
      </c>
      <c r="B2060" t="s">
        <v>6123</v>
      </c>
      <c r="C2060" t="s">
        <v>6124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6125</v>
      </c>
      <c r="B2061" t="s">
        <v>6126</v>
      </c>
      <c r="C2061" t="s">
        <v>6127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6128</v>
      </c>
      <c r="B2062" t="s">
        <v>6129</v>
      </c>
      <c r="C2062" t="s">
        <v>6130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6131</v>
      </c>
      <c r="B2063" t="s">
        <v>6132</v>
      </c>
      <c r="C2063" t="s">
        <v>6133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6134</v>
      </c>
      <c r="B2064" t="s">
        <v>6135</v>
      </c>
      <c r="C2064" t="s">
        <v>6136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6137</v>
      </c>
      <c r="B2065" t="s">
        <v>6138</v>
      </c>
      <c r="C2065" t="s">
        <v>6139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6140</v>
      </c>
      <c r="B2066" t="s">
        <v>6141</v>
      </c>
      <c r="C2066" t="s">
        <v>6142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6143</v>
      </c>
      <c r="B2067" t="s">
        <v>6144</v>
      </c>
      <c r="C2067" t="s">
        <v>6145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6146</v>
      </c>
      <c r="B2068" t="s">
        <v>6147</v>
      </c>
      <c r="C2068" t="s">
        <v>6148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6149</v>
      </c>
      <c r="B2069" t="s">
        <v>6150</v>
      </c>
      <c r="C2069" t="s">
        <v>6151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6152</v>
      </c>
      <c r="B2070" t="s">
        <v>6153</v>
      </c>
      <c r="C2070" t="s">
        <v>6154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6155</v>
      </c>
      <c r="B2071" t="s">
        <v>6156</v>
      </c>
      <c r="C2071" t="s">
        <v>6157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6158</v>
      </c>
      <c r="B2072" t="s">
        <v>6159</v>
      </c>
      <c r="C2072" t="s">
        <v>6160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6161</v>
      </c>
      <c r="B2073" t="s">
        <v>6162</v>
      </c>
      <c r="C2073" t="s">
        <v>6163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6164</v>
      </c>
      <c r="B2074" t="s">
        <v>6165</v>
      </c>
      <c r="C2074" t="s">
        <v>6166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6167</v>
      </c>
      <c r="B2075" t="s">
        <v>6168</v>
      </c>
      <c r="C2075" t="s">
        <v>6169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6170</v>
      </c>
      <c r="B2076" t="s">
        <v>6171</v>
      </c>
      <c r="C2076" t="s">
        <v>6172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6173</v>
      </c>
      <c r="B2077" t="s">
        <v>6174</v>
      </c>
      <c r="C2077" t="s">
        <v>6175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6176</v>
      </c>
      <c r="B2078" t="s">
        <v>6177</v>
      </c>
      <c r="C2078" t="s">
        <v>6178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6179</v>
      </c>
      <c r="B2079" t="s">
        <v>6180</v>
      </c>
      <c r="C2079" t="s">
        <v>6181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6182</v>
      </c>
      <c r="B2080" t="s">
        <v>6183</v>
      </c>
      <c r="C2080" t="s">
        <v>6184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6185</v>
      </c>
      <c r="B2081" t="s">
        <v>6186</v>
      </c>
      <c r="C2081" t="s">
        <v>6187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6188</v>
      </c>
      <c r="B2082" t="s">
        <v>6189</v>
      </c>
      <c r="C2082" t="s">
        <v>6190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6191</v>
      </c>
      <c r="B2083" t="s">
        <v>6192</v>
      </c>
      <c r="C2083" t="s">
        <v>6193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6194</v>
      </c>
      <c r="B2084" t="s">
        <v>6195</v>
      </c>
      <c r="C2084" t="s">
        <v>6196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6197</v>
      </c>
      <c r="B2085" t="s">
        <v>6198</v>
      </c>
      <c r="C2085" t="s">
        <v>6199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6200</v>
      </c>
      <c r="B2086" t="s">
        <v>6201</v>
      </c>
      <c r="C2086" t="s">
        <v>6202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6203</v>
      </c>
      <c r="B2087" t="s">
        <v>6204</v>
      </c>
      <c r="C2087" t="s">
        <v>6205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6206</v>
      </c>
      <c r="B2088" t="s">
        <v>6207</v>
      </c>
      <c r="C2088" t="s">
        <v>6208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6209</v>
      </c>
      <c r="B2089" t="s">
        <v>6210</v>
      </c>
      <c r="C2089" t="s">
        <v>6211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6212</v>
      </c>
      <c r="B2090" t="s">
        <v>6213</v>
      </c>
      <c r="C2090" t="s">
        <v>6214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6215</v>
      </c>
      <c r="B2091" t="s">
        <v>6216</v>
      </c>
      <c r="C2091" t="s">
        <v>6217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6218</v>
      </c>
      <c r="B2092" t="s">
        <v>6219</v>
      </c>
      <c r="C2092" t="s">
        <v>6220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6221</v>
      </c>
      <c r="B2093" t="s">
        <v>6222</v>
      </c>
      <c r="C2093" t="s">
        <v>6223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6224</v>
      </c>
      <c r="B2094" t="s">
        <v>6225</v>
      </c>
      <c r="C2094" t="s">
        <v>6226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6227</v>
      </c>
      <c r="B2095" t="s">
        <v>6228</v>
      </c>
      <c r="C2095" t="s">
        <v>6229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6230</v>
      </c>
      <c r="B2096" t="s">
        <v>6231</v>
      </c>
      <c r="C2096" t="s">
        <v>6232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6233</v>
      </c>
      <c r="B2097" t="s">
        <v>6234</v>
      </c>
      <c r="C2097" t="s">
        <v>6235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6236</v>
      </c>
      <c r="B2098" t="s">
        <v>6237</v>
      </c>
      <c r="C2098" t="s">
        <v>6238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6239</v>
      </c>
      <c r="B2099" t="s">
        <v>6240</v>
      </c>
      <c r="C2099" t="s">
        <v>6241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6242</v>
      </c>
      <c r="B2100" t="s">
        <v>6243</v>
      </c>
      <c r="C2100" t="s">
        <v>6244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6245</v>
      </c>
      <c r="B2101" t="s">
        <v>6246</v>
      </c>
      <c r="C2101" t="s">
        <v>6247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6248</v>
      </c>
      <c r="B2102" t="s">
        <v>6249</v>
      </c>
      <c r="C2102" t="s">
        <v>6250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6251</v>
      </c>
      <c r="B2103" t="s">
        <v>6252</v>
      </c>
      <c r="C2103" t="s">
        <v>6253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6254</v>
      </c>
      <c r="B2104" t="s">
        <v>6255</v>
      </c>
      <c r="C2104" t="s">
        <v>6256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6257</v>
      </c>
      <c r="B2105" t="s">
        <v>6258</v>
      </c>
      <c r="C2105" t="s">
        <v>6259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6260</v>
      </c>
      <c r="B2106" t="s">
        <v>6261</v>
      </c>
      <c r="C2106" t="s">
        <v>6262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6263</v>
      </c>
      <c r="B2107" t="s">
        <v>6264</v>
      </c>
      <c r="C2107" t="s">
        <v>6265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6266</v>
      </c>
      <c r="B2108" t="s">
        <v>6267</v>
      </c>
      <c r="C2108" t="s">
        <v>6268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6269</v>
      </c>
      <c r="B2109" t="s">
        <v>6270</v>
      </c>
      <c r="C2109" t="s">
        <v>6271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6272</v>
      </c>
      <c r="B2110" t="s">
        <v>6273</v>
      </c>
      <c r="C2110" t="s">
        <v>6274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6275</v>
      </c>
      <c r="B2111" t="s">
        <v>6276</v>
      </c>
      <c r="C2111" t="s">
        <v>6277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6278</v>
      </c>
      <c r="B2112" t="s">
        <v>6279</v>
      </c>
      <c r="C2112" t="s">
        <v>6280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6281</v>
      </c>
      <c r="B2113" t="s">
        <v>6282</v>
      </c>
      <c r="C2113" t="s">
        <v>6283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6284</v>
      </c>
      <c r="B2114" t="s">
        <v>6285</v>
      </c>
      <c r="C2114" t="s">
        <v>6286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6287</v>
      </c>
      <c r="B2115" t="s">
        <v>6288</v>
      </c>
      <c r="C2115" t="s">
        <v>6289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6290</v>
      </c>
      <c r="B2116" t="s">
        <v>6291</v>
      </c>
      <c r="C2116" t="s">
        <v>6292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6293</v>
      </c>
      <c r="B2117" t="s">
        <v>6294</v>
      </c>
      <c r="C2117" t="s">
        <v>6295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6296</v>
      </c>
      <c r="B2118" t="s">
        <v>6297</v>
      </c>
      <c r="C2118" t="s">
        <v>6298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6299</v>
      </c>
      <c r="B2119" t="s">
        <v>6300</v>
      </c>
      <c r="C2119" t="s">
        <v>6301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6302</v>
      </c>
      <c r="B2120" t="s">
        <v>6303</v>
      </c>
      <c r="C2120" t="s">
        <v>6304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6305</v>
      </c>
      <c r="B2121" t="s">
        <v>6306</v>
      </c>
      <c r="C2121" t="s">
        <v>6307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6308</v>
      </c>
      <c r="B2122" t="s">
        <v>6309</v>
      </c>
      <c r="C2122" t="s">
        <v>6310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6311</v>
      </c>
      <c r="B2123" t="s">
        <v>11863</v>
      </c>
      <c r="C2123" t="s">
        <v>6312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6311</v>
      </c>
      <c r="B2124" t="s">
        <v>11863</v>
      </c>
      <c r="C2124" t="s">
        <v>11864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6313</v>
      </c>
      <c r="B2125" t="s">
        <v>6314</v>
      </c>
      <c r="C2125" t="s">
        <v>6315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6316</v>
      </c>
      <c r="B2126" t="s">
        <v>6317</v>
      </c>
      <c r="C2126" t="s">
        <v>6318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6319</v>
      </c>
      <c r="B2127" t="s">
        <v>6320</v>
      </c>
      <c r="C2127" t="s">
        <v>6321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6322</v>
      </c>
      <c r="B2128" t="s">
        <v>6323</v>
      </c>
      <c r="C2128" t="s">
        <v>6324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6325</v>
      </c>
      <c r="B2129" t="s">
        <v>6326</v>
      </c>
      <c r="C2129" t="s">
        <v>6327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6328</v>
      </c>
      <c r="B2130" t="s">
        <v>6329</v>
      </c>
      <c r="C2130" t="s">
        <v>6330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6331</v>
      </c>
      <c r="B2131" t="s">
        <v>6332</v>
      </c>
      <c r="C2131" t="s">
        <v>6333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6334</v>
      </c>
      <c r="B2132" t="s">
        <v>6335</v>
      </c>
      <c r="C2132" t="s">
        <v>6336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6337</v>
      </c>
      <c r="B2133" t="s">
        <v>6338</v>
      </c>
      <c r="C2133" t="s">
        <v>6339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6340</v>
      </c>
      <c r="B2134" t="s">
        <v>6341</v>
      </c>
      <c r="C2134" t="s">
        <v>6342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6343</v>
      </c>
      <c r="B2135" t="s">
        <v>6344</v>
      </c>
      <c r="C2135" t="s">
        <v>6345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6346</v>
      </c>
      <c r="B2136" t="s">
        <v>6347</v>
      </c>
      <c r="C2136" t="s">
        <v>6348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6349</v>
      </c>
      <c r="B2137" t="s">
        <v>6350</v>
      </c>
      <c r="C2137" t="s">
        <v>6351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6352</v>
      </c>
      <c r="B2138" t="s">
        <v>6350</v>
      </c>
      <c r="C2138" t="s">
        <v>6353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6354</v>
      </c>
      <c r="B2139" t="s">
        <v>6355</v>
      </c>
      <c r="C2139" t="s">
        <v>6356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6357</v>
      </c>
      <c r="B2140" t="s">
        <v>6358</v>
      </c>
      <c r="C2140" t="s">
        <v>6359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6360</v>
      </c>
      <c r="B2141" t="s">
        <v>6361</v>
      </c>
      <c r="C2141" t="s">
        <v>6362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6363</v>
      </c>
      <c r="B2142" t="s">
        <v>6364</v>
      </c>
      <c r="C2142" t="s">
        <v>6365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6366</v>
      </c>
      <c r="B2143" t="s">
        <v>6367</v>
      </c>
      <c r="C2143" t="s">
        <v>6368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6369</v>
      </c>
      <c r="B2144" t="s">
        <v>6370</v>
      </c>
      <c r="C2144" t="s">
        <v>6371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6372</v>
      </c>
      <c r="B2145" t="s">
        <v>6373</v>
      </c>
      <c r="C2145" t="s">
        <v>6374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6375</v>
      </c>
      <c r="B2146" t="s">
        <v>6376</v>
      </c>
      <c r="C2146" t="s">
        <v>6377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6378</v>
      </c>
      <c r="B2147" t="s">
        <v>6379</v>
      </c>
      <c r="C2147" t="s">
        <v>6380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6381</v>
      </c>
      <c r="B2148" t="s">
        <v>6379</v>
      </c>
      <c r="C2148" t="s">
        <v>6382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6383</v>
      </c>
      <c r="B2149" t="s">
        <v>6384</v>
      </c>
      <c r="C2149" t="s">
        <v>6385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6386</v>
      </c>
      <c r="B2150" t="s">
        <v>6387</v>
      </c>
      <c r="C2150" t="s">
        <v>6388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6389</v>
      </c>
      <c r="B2151" t="s">
        <v>6390</v>
      </c>
      <c r="C2151" t="s">
        <v>6391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6392</v>
      </c>
      <c r="B2152" t="s">
        <v>6393</v>
      </c>
      <c r="C2152" t="s">
        <v>6394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6395</v>
      </c>
      <c r="B2153" t="s">
        <v>6396</v>
      </c>
      <c r="C2153" t="s">
        <v>6397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6398</v>
      </c>
      <c r="B2154" t="s">
        <v>6399</v>
      </c>
      <c r="C2154" t="s">
        <v>6400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6401</v>
      </c>
      <c r="B2155" t="s">
        <v>6402</v>
      </c>
      <c r="C2155" t="s">
        <v>6403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6404</v>
      </c>
      <c r="B2156" t="s">
        <v>6405</v>
      </c>
      <c r="C2156" t="s">
        <v>3624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6404</v>
      </c>
      <c r="B2157" t="s">
        <v>6405</v>
      </c>
      <c r="C2157" t="s">
        <v>6406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6407</v>
      </c>
      <c r="B2158" t="s">
        <v>6408</v>
      </c>
      <c r="C2158" t="s">
        <v>6409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6410</v>
      </c>
      <c r="B2159" t="s">
        <v>6411</v>
      </c>
      <c r="C2159" t="s">
        <v>6412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6413</v>
      </c>
      <c r="B2160" t="s">
        <v>6414</v>
      </c>
      <c r="C2160" t="s">
        <v>6415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6416</v>
      </c>
      <c r="B2161" t="s">
        <v>6417</v>
      </c>
      <c r="C2161" t="s">
        <v>6418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6419</v>
      </c>
      <c r="B2162" t="s">
        <v>6420</v>
      </c>
      <c r="C2162" t="s">
        <v>6421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6422</v>
      </c>
      <c r="B2163" t="s">
        <v>6423</v>
      </c>
      <c r="C2163" t="s">
        <v>6424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6425</v>
      </c>
      <c r="B2164" t="s">
        <v>6426</v>
      </c>
      <c r="C2164" t="s">
        <v>6427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6428</v>
      </c>
      <c r="B2165" t="s">
        <v>6429</v>
      </c>
      <c r="C2165" t="s">
        <v>6430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6431</v>
      </c>
      <c r="B2166" t="s">
        <v>6432</v>
      </c>
      <c r="C2166" t="s">
        <v>6433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6434</v>
      </c>
      <c r="B2167" t="s">
        <v>6435</v>
      </c>
      <c r="C2167" t="s">
        <v>6436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6437</v>
      </c>
      <c r="B2168" t="s">
        <v>6438</v>
      </c>
      <c r="C2168" t="s">
        <v>6439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6440</v>
      </c>
      <c r="B2169" t="s">
        <v>6441</v>
      </c>
      <c r="C2169" t="s">
        <v>6442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6443</v>
      </c>
      <c r="B2170" t="s">
        <v>6444</v>
      </c>
      <c r="C2170" t="s">
        <v>6445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6446</v>
      </c>
      <c r="B2171" t="s">
        <v>6447</v>
      </c>
      <c r="C2171" t="s">
        <v>6448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6449</v>
      </c>
      <c r="B2172" t="s">
        <v>6450</v>
      </c>
      <c r="C2172" t="s">
        <v>6451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6452</v>
      </c>
      <c r="B2173" t="s">
        <v>6453</v>
      </c>
      <c r="C2173" t="s">
        <v>6454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6455</v>
      </c>
      <c r="B2174" t="s">
        <v>6456</v>
      </c>
      <c r="C2174" t="s">
        <v>6457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6458</v>
      </c>
      <c r="B2175" t="s">
        <v>6459</v>
      </c>
      <c r="C2175" t="s">
        <v>6460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6461</v>
      </c>
      <c r="B2176" t="s">
        <v>6462</v>
      </c>
      <c r="C2176" t="s">
        <v>6463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6464</v>
      </c>
      <c r="B2177" t="s">
        <v>6465</v>
      </c>
      <c r="C2177" t="s">
        <v>6466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6467</v>
      </c>
      <c r="B2178" t="s">
        <v>6468</v>
      </c>
      <c r="C2178" t="s">
        <v>6469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6470</v>
      </c>
      <c r="B2179" t="s">
        <v>6471</v>
      </c>
      <c r="C2179" t="s">
        <v>6472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6473</v>
      </c>
      <c r="B2180" t="s">
        <v>6474</v>
      </c>
      <c r="C2180" t="s">
        <v>6475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6476</v>
      </c>
      <c r="B2181" t="s">
        <v>6474</v>
      </c>
      <c r="C2181" t="s">
        <v>6477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6478</v>
      </c>
      <c r="B2182" t="s">
        <v>6479</v>
      </c>
      <c r="C2182" t="s">
        <v>6480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6481</v>
      </c>
      <c r="B2183" t="s">
        <v>6482</v>
      </c>
      <c r="C2183" t="s">
        <v>6483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6484</v>
      </c>
      <c r="B2184" t="s">
        <v>6485</v>
      </c>
      <c r="C2184" t="s">
        <v>6486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6487</v>
      </c>
      <c r="B2185" t="s">
        <v>6488</v>
      </c>
      <c r="C2185" t="s">
        <v>6489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6490</v>
      </c>
      <c r="B2186" t="s">
        <v>6491</v>
      </c>
      <c r="C2186" t="s">
        <v>6492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6493</v>
      </c>
      <c r="B2187" t="s">
        <v>6494</v>
      </c>
      <c r="C2187" t="s">
        <v>6495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6496</v>
      </c>
      <c r="B2188" t="s">
        <v>6497</v>
      </c>
      <c r="C2188" t="s">
        <v>6498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6499</v>
      </c>
      <c r="B2189" t="s">
        <v>6500</v>
      </c>
      <c r="C2189" t="s">
        <v>6501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6502</v>
      </c>
      <c r="B2190" t="s">
        <v>6503</v>
      </c>
      <c r="C2190" t="s">
        <v>6504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6505</v>
      </c>
      <c r="B2191" t="s">
        <v>6506</v>
      </c>
      <c r="C2191" t="s">
        <v>6507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6508</v>
      </c>
      <c r="B2192" t="s">
        <v>6509</v>
      </c>
      <c r="C2192" t="s">
        <v>6510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6511</v>
      </c>
      <c r="B2193" t="s">
        <v>6512</v>
      </c>
      <c r="C2193" t="s">
        <v>6513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6514</v>
      </c>
      <c r="B2194" t="s">
        <v>6515</v>
      </c>
      <c r="C2194" t="s">
        <v>6516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6517</v>
      </c>
      <c r="B2195" t="s">
        <v>6518</v>
      </c>
      <c r="C2195" t="s">
        <v>6519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6520</v>
      </c>
      <c r="B2196" t="s">
        <v>6521</v>
      </c>
      <c r="C2196" t="s">
        <v>6522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6523</v>
      </c>
      <c r="B2197" t="s">
        <v>6524</v>
      </c>
      <c r="C2197" t="s">
        <v>6525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6526</v>
      </c>
      <c r="B2198" t="s">
        <v>6527</v>
      </c>
      <c r="C2198" t="s">
        <v>6528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6529</v>
      </c>
      <c r="B2199" t="s">
        <v>6530</v>
      </c>
      <c r="C2199" t="s">
        <v>6531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6532</v>
      </c>
      <c r="B2200" t="s">
        <v>6533</v>
      </c>
      <c r="C2200" t="s">
        <v>6534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6535</v>
      </c>
      <c r="B2201" t="s">
        <v>6536</v>
      </c>
      <c r="C2201" t="s">
        <v>6537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6538</v>
      </c>
      <c r="B2202" t="s">
        <v>6539</v>
      </c>
      <c r="C2202" t="s">
        <v>6540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6541</v>
      </c>
      <c r="B2203" t="s">
        <v>6542</v>
      </c>
      <c r="C2203" t="s">
        <v>6543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6544</v>
      </c>
      <c r="B2204" t="s">
        <v>6545</v>
      </c>
      <c r="C2204" t="s">
        <v>6546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6547</v>
      </c>
      <c r="B2205" t="s">
        <v>6548</v>
      </c>
      <c r="C2205" t="s">
        <v>6549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6550</v>
      </c>
      <c r="B2206" t="s">
        <v>6551</v>
      </c>
      <c r="C2206" t="s">
        <v>6552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6553</v>
      </c>
      <c r="B2207" t="s">
        <v>6554</v>
      </c>
      <c r="C2207" t="s">
        <v>6555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6556</v>
      </c>
      <c r="B2208" t="s">
        <v>6557</v>
      </c>
      <c r="C2208" t="s">
        <v>6558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6559</v>
      </c>
      <c r="B2209" t="s">
        <v>6560</v>
      </c>
      <c r="C2209" t="s">
        <v>6561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6562</v>
      </c>
      <c r="B2210" t="s">
        <v>6563</v>
      </c>
      <c r="C2210" t="s">
        <v>6564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6565</v>
      </c>
      <c r="B2211" t="s">
        <v>6566</v>
      </c>
      <c r="C2211" t="s">
        <v>6567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6568</v>
      </c>
      <c r="B2212" t="s">
        <v>6569</v>
      </c>
      <c r="C2212" t="s">
        <v>6570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6571</v>
      </c>
      <c r="B2213" t="s">
        <v>6572</v>
      </c>
      <c r="C2213" t="s">
        <v>6573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6574</v>
      </c>
      <c r="B2214" t="s">
        <v>6575</v>
      </c>
      <c r="C2214" t="s">
        <v>6576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6577</v>
      </c>
      <c r="B2215" t="s">
        <v>6578</v>
      </c>
      <c r="C2215" t="s">
        <v>6579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6580</v>
      </c>
      <c r="B2216" t="s">
        <v>6581</v>
      </c>
      <c r="C2216" t="s">
        <v>6582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6583</v>
      </c>
      <c r="B2217" t="s">
        <v>6584</v>
      </c>
      <c r="C2217" t="s">
        <v>6585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6586</v>
      </c>
      <c r="B2218" t="s">
        <v>6587</v>
      </c>
      <c r="C2218" t="s">
        <v>6588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6589</v>
      </c>
      <c r="B2219" t="s">
        <v>6590</v>
      </c>
      <c r="C2219" t="s">
        <v>6591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6592</v>
      </c>
      <c r="B2220" t="s">
        <v>6593</v>
      </c>
      <c r="C2220" t="s">
        <v>6594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6595</v>
      </c>
      <c r="B2221" t="s">
        <v>6596</v>
      </c>
      <c r="C2221" t="s">
        <v>6597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6598</v>
      </c>
      <c r="B2222" t="s">
        <v>6599</v>
      </c>
      <c r="C2222" t="s">
        <v>6600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6601</v>
      </c>
      <c r="B2223" t="s">
        <v>6602</v>
      </c>
      <c r="C2223" t="s">
        <v>6603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6604</v>
      </c>
      <c r="B2224" t="s">
        <v>6605</v>
      </c>
      <c r="C2224" t="s">
        <v>6606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6607</v>
      </c>
      <c r="B2225" t="s">
        <v>6608</v>
      </c>
      <c r="C2225" t="s">
        <v>6609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6610</v>
      </c>
      <c r="B2226" t="s">
        <v>6611</v>
      </c>
      <c r="C2226" t="s">
        <v>6612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6613</v>
      </c>
      <c r="B2227" t="s">
        <v>6614</v>
      </c>
      <c r="C2227" t="s">
        <v>6615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6616</v>
      </c>
      <c r="B2228" t="s">
        <v>6617</v>
      </c>
      <c r="C2228" t="s">
        <v>6618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6619</v>
      </c>
      <c r="B2229" t="s">
        <v>6620</v>
      </c>
      <c r="C2229" t="s">
        <v>6621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6622</v>
      </c>
      <c r="B2230" t="s">
        <v>6623</v>
      </c>
      <c r="C2230" t="s">
        <v>6624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6625</v>
      </c>
      <c r="B2231" t="s">
        <v>6626</v>
      </c>
      <c r="C2231" t="s">
        <v>6627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6628</v>
      </c>
      <c r="B2232" t="s">
        <v>6629</v>
      </c>
      <c r="C2232" t="s">
        <v>6630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6631</v>
      </c>
      <c r="B2233" t="s">
        <v>6632</v>
      </c>
      <c r="C2233" t="s">
        <v>6633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6634</v>
      </c>
      <c r="B2234" t="s">
        <v>6635</v>
      </c>
      <c r="C2234" t="s">
        <v>6636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6637</v>
      </c>
      <c r="B2235" t="s">
        <v>6638</v>
      </c>
      <c r="C2235" t="s">
        <v>6639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6640</v>
      </c>
      <c r="B2236" t="s">
        <v>6641</v>
      </c>
      <c r="C2236" t="s">
        <v>6642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6643</v>
      </c>
      <c r="B2237" t="s">
        <v>6644</v>
      </c>
      <c r="C2237" t="s">
        <v>6645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6646</v>
      </c>
      <c r="B2238" t="s">
        <v>6647</v>
      </c>
      <c r="C2238" t="s">
        <v>6648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6649</v>
      </c>
      <c r="B2239" t="s">
        <v>6650</v>
      </c>
      <c r="C2239" t="s">
        <v>6651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6652</v>
      </c>
      <c r="B2240" t="s">
        <v>6653</v>
      </c>
      <c r="C2240" t="s">
        <v>6654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6655</v>
      </c>
      <c r="B2241" t="s">
        <v>6656</v>
      </c>
      <c r="C2241" t="s">
        <v>6657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6658</v>
      </c>
      <c r="B2242" t="s">
        <v>6659</v>
      </c>
      <c r="C2242" t="s">
        <v>6660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6661</v>
      </c>
      <c r="B2243" t="s">
        <v>6662</v>
      </c>
      <c r="C2243" t="s">
        <v>6663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6664</v>
      </c>
      <c r="B2244" t="s">
        <v>6665</v>
      </c>
      <c r="C2244" t="s">
        <v>6666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6667</v>
      </c>
      <c r="B2245" t="s">
        <v>6668</v>
      </c>
      <c r="C2245" t="s">
        <v>6669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6670</v>
      </c>
      <c r="B2246" t="s">
        <v>6671</v>
      </c>
      <c r="C2246" t="s">
        <v>6672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6673</v>
      </c>
      <c r="B2247" t="s">
        <v>6674</v>
      </c>
      <c r="C2247" t="s">
        <v>6675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6676</v>
      </c>
      <c r="B2248" t="s">
        <v>6677</v>
      </c>
      <c r="C2248" t="s">
        <v>6678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6679</v>
      </c>
      <c r="B2249" t="s">
        <v>6680</v>
      </c>
      <c r="C2249" t="s">
        <v>6681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6682</v>
      </c>
      <c r="B2250" t="s">
        <v>6683</v>
      </c>
      <c r="C2250" t="s">
        <v>6684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6685</v>
      </c>
      <c r="B2251" t="s">
        <v>6686</v>
      </c>
      <c r="C2251" t="s">
        <v>6687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6688</v>
      </c>
      <c r="B2252" t="s">
        <v>6689</v>
      </c>
      <c r="C2252" t="s">
        <v>6690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6691</v>
      </c>
      <c r="B2253" t="s">
        <v>6692</v>
      </c>
      <c r="C2253" t="s">
        <v>6693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6694</v>
      </c>
      <c r="B2254" t="s">
        <v>6695</v>
      </c>
      <c r="C2254" t="s">
        <v>6696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6697</v>
      </c>
      <c r="B2255" t="s">
        <v>6698</v>
      </c>
      <c r="C2255" t="s">
        <v>6699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6700</v>
      </c>
      <c r="B2256" t="s">
        <v>6701</v>
      </c>
      <c r="C2256" t="s">
        <v>6702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6703</v>
      </c>
      <c r="B2257" t="s">
        <v>6704</v>
      </c>
      <c r="C2257" t="s">
        <v>6705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6706</v>
      </c>
      <c r="B2258" t="s">
        <v>6707</v>
      </c>
      <c r="C2258" t="s">
        <v>6708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6709</v>
      </c>
      <c r="B2259" t="s">
        <v>6710</v>
      </c>
      <c r="C2259" t="s">
        <v>6711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6712</v>
      </c>
      <c r="B2260" t="s">
        <v>6713</v>
      </c>
      <c r="C2260" t="s">
        <v>6714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6715</v>
      </c>
      <c r="B2261" t="s">
        <v>6716</v>
      </c>
      <c r="C2261" t="s">
        <v>6717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6718</v>
      </c>
      <c r="B2262" t="s">
        <v>6719</v>
      </c>
      <c r="C2262" t="s">
        <v>6720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6721</v>
      </c>
      <c r="B2263" t="s">
        <v>6722</v>
      </c>
      <c r="C2263" t="s">
        <v>6723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6724</v>
      </c>
      <c r="B2264" t="s">
        <v>6725</v>
      </c>
      <c r="C2264" t="s">
        <v>6726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6727</v>
      </c>
      <c r="B2265" t="s">
        <v>6728</v>
      </c>
      <c r="C2265" t="s">
        <v>6729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6730</v>
      </c>
      <c r="B2266" t="s">
        <v>6731</v>
      </c>
      <c r="C2266" t="s">
        <v>6732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6733</v>
      </c>
      <c r="B2267" t="s">
        <v>6734</v>
      </c>
      <c r="C2267" t="s">
        <v>6735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6736</v>
      </c>
      <c r="B2268" t="s">
        <v>6737</v>
      </c>
      <c r="C2268" t="s">
        <v>6738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6739</v>
      </c>
      <c r="B2269" t="s">
        <v>6740</v>
      </c>
      <c r="C2269" t="s">
        <v>6741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6742</v>
      </c>
      <c r="B2270" t="s">
        <v>6743</v>
      </c>
      <c r="C2270" t="s">
        <v>6744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6745</v>
      </c>
      <c r="B2271" t="s">
        <v>6746</v>
      </c>
      <c r="C2271" t="s">
        <v>6747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6748</v>
      </c>
      <c r="B2272" t="s">
        <v>6749</v>
      </c>
      <c r="C2272" t="s">
        <v>6750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6751</v>
      </c>
      <c r="B2273" t="s">
        <v>6752</v>
      </c>
      <c r="C2273" t="s">
        <v>6753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6754</v>
      </c>
      <c r="B2274" t="s">
        <v>6755</v>
      </c>
      <c r="C2274" t="s">
        <v>6756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6757</v>
      </c>
      <c r="B2275" t="s">
        <v>6758</v>
      </c>
      <c r="C2275" t="s">
        <v>6759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6760</v>
      </c>
      <c r="B2276" t="s">
        <v>6761</v>
      </c>
      <c r="C2276" t="s">
        <v>6762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6763</v>
      </c>
      <c r="B2277" t="s">
        <v>6764</v>
      </c>
      <c r="C2277" t="s">
        <v>6765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6766</v>
      </c>
      <c r="B2278" t="s">
        <v>6767</v>
      </c>
      <c r="C2278" t="s">
        <v>6768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6769</v>
      </c>
      <c r="B2279" t="s">
        <v>6770</v>
      </c>
      <c r="C2279" t="s">
        <v>6771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6772</v>
      </c>
      <c r="B2280" t="s">
        <v>6773</v>
      </c>
      <c r="C2280" t="s">
        <v>6774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6775</v>
      </c>
      <c r="B2281" t="s">
        <v>6776</v>
      </c>
      <c r="C2281" t="s">
        <v>6777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6778</v>
      </c>
      <c r="B2282" t="s">
        <v>6779</v>
      </c>
      <c r="C2282" t="s">
        <v>6780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6781</v>
      </c>
      <c r="B2283" t="s">
        <v>6782</v>
      </c>
      <c r="C2283" t="s">
        <v>6783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6784</v>
      </c>
      <c r="B2284" t="s">
        <v>6785</v>
      </c>
      <c r="C2284" t="s">
        <v>6786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6787</v>
      </c>
      <c r="B2285" t="s">
        <v>6788</v>
      </c>
      <c r="C2285" t="s">
        <v>6789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6790</v>
      </c>
      <c r="B2286" t="s">
        <v>6791</v>
      </c>
      <c r="C2286" t="s">
        <v>6792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6793</v>
      </c>
      <c r="B2287" t="s">
        <v>6794</v>
      </c>
      <c r="C2287" t="s">
        <v>6795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6796</v>
      </c>
      <c r="B2288" t="s">
        <v>6797</v>
      </c>
      <c r="C2288" t="s">
        <v>6798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6799</v>
      </c>
      <c r="B2289" t="s">
        <v>6800</v>
      </c>
      <c r="C2289" t="s">
        <v>6801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6802</v>
      </c>
      <c r="B2290" t="s">
        <v>6803</v>
      </c>
      <c r="C2290" t="s">
        <v>6804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6805</v>
      </c>
      <c r="B2291" t="s">
        <v>6806</v>
      </c>
      <c r="C2291" t="s">
        <v>6807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6808</v>
      </c>
      <c r="B2292" t="s">
        <v>6809</v>
      </c>
      <c r="C2292" t="s">
        <v>6810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6811</v>
      </c>
      <c r="B2293" t="s">
        <v>6812</v>
      </c>
      <c r="C2293" t="s">
        <v>6813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6814</v>
      </c>
      <c r="B2294" t="s">
        <v>6815</v>
      </c>
      <c r="C2294" t="s">
        <v>6816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6817</v>
      </c>
      <c r="B2295" t="s">
        <v>6818</v>
      </c>
      <c r="C2295" t="s">
        <v>6819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6820</v>
      </c>
      <c r="B2296" t="s">
        <v>6821</v>
      </c>
      <c r="C2296" t="s">
        <v>6822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6823</v>
      </c>
      <c r="B2297" t="s">
        <v>6824</v>
      </c>
      <c r="C2297" t="s">
        <v>6825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6826</v>
      </c>
      <c r="B2298" t="s">
        <v>6827</v>
      </c>
      <c r="C2298" t="s">
        <v>6828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6829</v>
      </c>
      <c r="B2299" t="s">
        <v>6830</v>
      </c>
      <c r="C2299" t="s">
        <v>6831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6832</v>
      </c>
      <c r="B2300" t="s">
        <v>6833</v>
      </c>
      <c r="C2300" t="s">
        <v>6834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6835</v>
      </c>
      <c r="B2301" t="s">
        <v>6836</v>
      </c>
      <c r="C2301" t="s">
        <v>6837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6838</v>
      </c>
      <c r="B2302" t="s">
        <v>6839</v>
      </c>
      <c r="C2302" t="s">
        <v>6840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6841</v>
      </c>
      <c r="B2303" t="s">
        <v>6842</v>
      </c>
      <c r="C2303" t="s">
        <v>6843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6844</v>
      </c>
      <c r="B2304" t="s">
        <v>6845</v>
      </c>
      <c r="C2304" t="s">
        <v>6846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6847</v>
      </c>
      <c r="B2305" t="s">
        <v>6848</v>
      </c>
      <c r="C2305" t="s">
        <v>6849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6850</v>
      </c>
      <c r="B2306" t="s">
        <v>6851</v>
      </c>
      <c r="C2306" t="s">
        <v>6852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6853</v>
      </c>
      <c r="B2307" t="s">
        <v>6854</v>
      </c>
      <c r="C2307" t="s">
        <v>6855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6856</v>
      </c>
      <c r="B2308" t="s">
        <v>6857</v>
      </c>
      <c r="C2308" t="s">
        <v>6858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6859</v>
      </c>
      <c r="B2309" t="s">
        <v>6860</v>
      </c>
      <c r="C2309" t="s">
        <v>6861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6859</v>
      </c>
      <c r="B2310" t="s">
        <v>6860</v>
      </c>
      <c r="C2310" t="s">
        <v>6862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6863</v>
      </c>
      <c r="B2311" t="s">
        <v>6864</v>
      </c>
      <c r="C2311" t="s">
        <v>6865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6866</v>
      </c>
      <c r="B2312" t="s">
        <v>6867</v>
      </c>
      <c r="C2312" t="s">
        <v>6868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6869</v>
      </c>
      <c r="B2313" t="s">
        <v>6870</v>
      </c>
      <c r="C2313" t="s">
        <v>6871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6872</v>
      </c>
      <c r="B2314" t="s">
        <v>6873</v>
      </c>
      <c r="C2314" t="s">
        <v>6874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6875</v>
      </c>
      <c r="B2315" t="s">
        <v>6876</v>
      </c>
      <c r="C2315" t="s">
        <v>6877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6878</v>
      </c>
      <c r="B2316" t="s">
        <v>6879</v>
      </c>
      <c r="C2316" t="s">
        <v>6880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6881</v>
      </c>
      <c r="B2317" t="s">
        <v>6882</v>
      </c>
      <c r="C2317" t="s">
        <v>6883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6884</v>
      </c>
      <c r="B2318" t="s">
        <v>6885</v>
      </c>
      <c r="C2318" t="s">
        <v>6886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6887</v>
      </c>
      <c r="B2319" t="s">
        <v>6888</v>
      </c>
      <c r="C2319" t="s">
        <v>6889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6890</v>
      </c>
      <c r="B2320" t="s">
        <v>6891</v>
      </c>
      <c r="C2320" t="s">
        <v>6892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6893</v>
      </c>
      <c r="B2321" t="s">
        <v>6894</v>
      </c>
      <c r="C2321" t="s">
        <v>6895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6896</v>
      </c>
      <c r="B2322" t="s">
        <v>6897</v>
      </c>
      <c r="C2322" t="s">
        <v>6898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6899</v>
      </c>
      <c r="B2323" t="s">
        <v>6900</v>
      </c>
      <c r="C2323" t="s">
        <v>6901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6902</v>
      </c>
      <c r="B2324" t="s">
        <v>6903</v>
      </c>
      <c r="C2324" t="s">
        <v>6904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6905</v>
      </c>
      <c r="B2325" t="s">
        <v>6906</v>
      </c>
      <c r="C2325" t="s">
        <v>6907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6908</v>
      </c>
      <c r="B2326" t="s">
        <v>6909</v>
      </c>
      <c r="C2326" t="s">
        <v>6910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6911</v>
      </c>
      <c r="B2327" t="s">
        <v>6912</v>
      </c>
      <c r="C2327" t="s">
        <v>6913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6914</v>
      </c>
      <c r="B2328" t="s">
        <v>6915</v>
      </c>
      <c r="C2328" t="s">
        <v>6916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6917</v>
      </c>
      <c r="B2329" t="s">
        <v>6918</v>
      </c>
      <c r="C2329" t="s">
        <v>6919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6920</v>
      </c>
      <c r="B2330" t="s">
        <v>6921</v>
      </c>
      <c r="C2330" t="s">
        <v>6922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6923</v>
      </c>
      <c r="B2331" t="s">
        <v>6924</v>
      </c>
      <c r="C2331" t="s">
        <v>6925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6926</v>
      </c>
      <c r="B2332" t="s">
        <v>6927</v>
      </c>
      <c r="C2332" t="s">
        <v>6928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6929</v>
      </c>
      <c r="B2333" t="s">
        <v>6930</v>
      </c>
      <c r="C2333" t="s">
        <v>6931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6932</v>
      </c>
      <c r="B2334" t="s">
        <v>6933</v>
      </c>
      <c r="C2334" t="s">
        <v>6934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6935</v>
      </c>
      <c r="B2335" t="s">
        <v>6936</v>
      </c>
      <c r="C2335" t="s">
        <v>6937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6938</v>
      </c>
      <c r="B2336" t="s">
        <v>6939</v>
      </c>
      <c r="C2336" t="s">
        <v>6940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6941</v>
      </c>
      <c r="B2337" t="s">
        <v>6942</v>
      </c>
      <c r="C2337" t="s">
        <v>6943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6944</v>
      </c>
      <c r="B2338" t="s">
        <v>6945</v>
      </c>
      <c r="C2338" t="s">
        <v>6946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6947</v>
      </c>
      <c r="B2339" t="s">
        <v>6948</v>
      </c>
      <c r="C2339" t="s">
        <v>6949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6950</v>
      </c>
      <c r="B2340" t="s">
        <v>6951</v>
      </c>
      <c r="C2340" t="s">
        <v>6952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6953</v>
      </c>
      <c r="B2341" t="s">
        <v>6954</v>
      </c>
      <c r="C2341" t="s">
        <v>6955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6956</v>
      </c>
      <c r="B2342" t="s">
        <v>6957</v>
      </c>
      <c r="C2342" t="s">
        <v>6958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6959</v>
      </c>
      <c r="B2343" t="s">
        <v>6960</v>
      </c>
      <c r="C2343" t="s">
        <v>6961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6962</v>
      </c>
      <c r="B2344" t="s">
        <v>6963</v>
      </c>
      <c r="C2344" t="s">
        <v>6964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6965</v>
      </c>
      <c r="B2345" t="s">
        <v>6966</v>
      </c>
      <c r="C2345" t="s">
        <v>6967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6968</v>
      </c>
      <c r="B2346" t="s">
        <v>6969</v>
      </c>
      <c r="C2346" t="s">
        <v>6970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6971</v>
      </c>
      <c r="B2347" t="s">
        <v>6972</v>
      </c>
      <c r="C2347" t="s">
        <v>6973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6974</v>
      </c>
      <c r="B2348" t="s">
        <v>6975</v>
      </c>
      <c r="C2348" t="s">
        <v>6976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6977</v>
      </c>
      <c r="B2349" t="s">
        <v>6978</v>
      </c>
      <c r="C2349" t="s">
        <v>6979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6980</v>
      </c>
      <c r="B2350" t="s">
        <v>6981</v>
      </c>
      <c r="C2350" t="s">
        <v>6982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6983</v>
      </c>
      <c r="B2351" t="s">
        <v>6984</v>
      </c>
      <c r="C2351" t="s">
        <v>6985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6986</v>
      </c>
      <c r="B2352" t="s">
        <v>6987</v>
      </c>
      <c r="C2352" t="s">
        <v>6988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6989</v>
      </c>
      <c r="B2353" t="s">
        <v>6990</v>
      </c>
      <c r="C2353" t="s">
        <v>6991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6992</v>
      </c>
      <c r="B2354" t="s">
        <v>6993</v>
      </c>
      <c r="C2354" t="s">
        <v>6994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6995</v>
      </c>
      <c r="B2355" t="s">
        <v>6996</v>
      </c>
      <c r="C2355" t="s">
        <v>6997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6998</v>
      </c>
      <c r="B2356" t="s">
        <v>6999</v>
      </c>
      <c r="C2356" t="s">
        <v>7000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7001</v>
      </c>
      <c r="B2357" t="s">
        <v>7002</v>
      </c>
      <c r="C2357" t="s">
        <v>7003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7004</v>
      </c>
      <c r="B2358" t="s">
        <v>7005</v>
      </c>
      <c r="C2358" t="s">
        <v>7006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7007</v>
      </c>
      <c r="B2359" t="s">
        <v>7008</v>
      </c>
      <c r="C2359" t="s">
        <v>7009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7010</v>
      </c>
      <c r="B2360" t="s">
        <v>7011</v>
      </c>
      <c r="C2360" t="s">
        <v>7012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7013</v>
      </c>
      <c r="B2361" t="s">
        <v>7014</v>
      </c>
      <c r="C2361" t="s">
        <v>7015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7016</v>
      </c>
      <c r="B2362" t="s">
        <v>7017</v>
      </c>
      <c r="C2362" t="s">
        <v>7018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7019</v>
      </c>
      <c r="B2363" t="s">
        <v>7020</v>
      </c>
      <c r="C2363" t="s">
        <v>7021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7022</v>
      </c>
      <c r="B2364" t="s">
        <v>7023</v>
      </c>
      <c r="C2364" t="s">
        <v>7024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7025</v>
      </c>
      <c r="B2365" t="s">
        <v>7026</v>
      </c>
      <c r="C2365" t="s">
        <v>7027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7028</v>
      </c>
      <c r="B2366" t="s">
        <v>7029</v>
      </c>
      <c r="C2366" t="s">
        <v>7030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7031</v>
      </c>
      <c r="B2367" t="s">
        <v>7032</v>
      </c>
      <c r="C2367" t="s">
        <v>7033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7034</v>
      </c>
      <c r="B2368" t="s">
        <v>7035</v>
      </c>
      <c r="C2368" t="s">
        <v>7036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7037</v>
      </c>
      <c r="B2369" t="s">
        <v>7038</v>
      </c>
      <c r="C2369" t="s">
        <v>7039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7040</v>
      </c>
      <c r="B2370" t="s">
        <v>7041</v>
      </c>
      <c r="C2370" t="s">
        <v>7042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7043</v>
      </c>
      <c r="B2371" t="s">
        <v>7044</v>
      </c>
      <c r="C2371" t="s">
        <v>7045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7046</v>
      </c>
      <c r="B2372" t="s">
        <v>7047</v>
      </c>
      <c r="C2372" t="s">
        <v>7048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7049</v>
      </c>
      <c r="B2373" t="s">
        <v>7050</v>
      </c>
      <c r="C2373" t="s">
        <v>7051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7052</v>
      </c>
      <c r="C2374" t="s">
        <v>7053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7054</v>
      </c>
      <c r="B2375" t="s">
        <v>7055</v>
      </c>
      <c r="C2375" t="s">
        <v>7056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7057</v>
      </c>
      <c r="B2376" t="s">
        <v>7052</v>
      </c>
      <c r="C2376" t="s">
        <v>7058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7059</v>
      </c>
      <c r="B2377" t="s">
        <v>7060</v>
      </c>
      <c r="C2377" t="s">
        <v>7061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7062</v>
      </c>
      <c r="B2378" t="s">
        <v>7063</v>
      </c>
      <c r="C2378" t="s">
        <v>7064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7065</v>
      </c>
      <c r="B2379" t="s">
        <v>7066</v>
      </c>
      <c r="C2379" t="s">
        <v>7067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7068</v>
      </c>
      <c r="B2380" t="s">
        <v>7069</v>
      </c>
      <c r="C2380" t="s">
        <v>7070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7071</v>
      </c>
      <c r="B2381" t="s">
        <v>7072</v>
      </c>
      <c r="C2381" t="s">
        <v>7073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7074</v>
      </c>
      <c r="B2382" t="s">
        <v>7075</v>
      </c>
      <c r="C2382" t="s">
        <v>7076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7077</v>
      </c>
      <c r="B2383" t="s">
        <v>7078</v>
      </c>
      <c r="C2383" t="s">
        <v>7079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7080</v>
      </c>
      <c r="B2384" t="s">
        <v>7081</v>
      </c>
      <c r="C2384" t="s">
        <v>7082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7083</v>
      </c>
      <c r="B2385" t="s">
        <v>7084</v>
      </c>
      <c r="C2385" t="s">
        <v>7085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7086</v>
      </c>
      <c r="B2386" t="s">
        <v>7087</v>
      </c>
      <c r="C2386" t="s">
        <v>7088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7089</v>
      </c>
      <c r="B2387" t="s">
        <v>7090</v>
      </c>
      <c r="C2387" t="s">
        <v>7091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7092</v>
      </c>
      <c r="B2388" t="s">
        <v>7093</v>
      </c>
      <c r="C2388" t="s">
        <v>7094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7095</v>
      </c>
      <c r="B2389" t="s">
        <v>7096</v>
      </c>
      <c r="C2389" t="s">
        <v>7097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7098</v>
      </c>
      <c r="B2390" t="s">
        <v>7099</v>
      </c>
      <c r="C2390" t="s">
        <v>7100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7101</v>
      </c>
      <c r="B2391" t="s">
        <v>7102</v>
      </c>
      <c r="C2391" t="s">
        <v>7103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7104</v>
      </c>
      <c r="B2392" t="s">
        <v>7105</v>
      </c>
      <c r="C2392" t="s">
        <v>7106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7104</v>
      </c>
      <c r="B2393" t="s">
        <v>7105</v>
      </c>
      <c r="C2393" t="s">
        <v>7107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7108</v>
      </c>
      <c r="B2394" t="s">
        <v>7109</v>
      </c>
      <c r="C2394" t="s">
        <v>7110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7111</v>
      </c>
      <c r="B2395" t="s">
        <v>7112</v>
      </c>
      <c r="C2395" t="s">
        <v>7113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7114</v>
      </c>
      <c r="B2396" t="s">
        <v>7115</v>
      </c>
      <c r="C2396" t="s">
        <v>7116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7117</v>
      </c>
      <c r="B2397" t="s">
        <v>7118</v>
      </c>
      <c r="C2397" t="s">
        <v>7119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7120</v>
      </c>
      <c r="B2398" t="s">
        <v>7121</v>
      </c>
      <c r="C2398" t="s">
        <v>7122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7123</v>
      </c>
      <c r="B2399" t="s">
        <v>7124</v>
      </c>
      <c r="C2399" t="s">
        <v>7125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7126</v>
      </c>
      <c r="B2400" t="s">
        <v>7127</v>
      </c>
      <c r="C2400" t="s">
        <v>7128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7129</v>
      </c>
      <c r="B2401" t="s">
        <v>7130</v>
      </c>
      <c r="C2401" t="s">
        <v>7131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7132</v>
      </c>
      <c r="B2402" t="s">
        <v>7133</v>
      </c>
      <c r="C2402" t="s">
        <v>7134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7135</v>
      </c>
      <c r="B2403" t="s">
        <v>7136</v>
      </c>
      <c r="C2403" t="s">
        <v>7137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7138</v>
      </c>
      <c r="B2404" t="s">
        <v>7139</v>
      </c>
      <c r="C2404" t="s">
        <v>7140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7141</v>
      </c>
      <c r="B2405" t="s">
        <v>7142</v>
      </c>
      <c r="C2405" t="s">
        <v>7143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7144</v>
      </c>
      <c r="B2406" t="s">
        <v>7145</v>
      </c>
      <c r="C2406" t="s">
        <v>7146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7147</v>
      </c>
      <c r="B2407" t="s">
        <v>7148</v>
      </c>
      <c r="C2407" t="s">
        <v>7149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7150</v>
      </c>
      <c r="B2408" t="s">
        <v>7151</v>
      </c>
      <c r="C2408" t="s">
        <v>7152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7153</v>
      </c>
      <c r="B2409" t="s">
        <v>7151</v>
      </c>
      <c r="C2409" t="s">
        <v>7154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7155</v>
      </c>
      <c r="B2410" t="s">
        <v>7156</v>
      </c>
      <c r="C2410" t="s">
        <v>7157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7158</v>
      </c>
      <c r="B2411" t="s">
        <v>7159</v>
      </c>
      <c r="C2411" t="s">
        <v>7160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7161</v>
      </c>
      <c r="B2412" t="s">
        <v>7162</v>
      </c>
      <c r="C2412" t="s">
        <v>7163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7164</v>
      </c>
      <c r="B2413" t="s">
        <v>7165</v>
      </c>
      <c r="C2413" t="s">
        <v>7166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7167</v>
      </c>
      <c r="B2414" t="s">
        <v>7168</v>
      </c>
      <c r="C2414" t="s">
        <v>7169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7170</v>
      </c>
      <c r="B2415" t="s">
        <v>7171</v>
      </c>
      <c r="C2415" t="s">
        <v>7172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7173</v>
      </c>
      <c r="B2416" t="s">
        <v>7174</v>
      </c>
      <c r="C2416" t="s">
        <v>7175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7176</v>
      </c>
      <c r="B2417" t="s">
        <v>7177</v>
      </c>
      <c r="C2417" t="s">
        <v>7178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7179</v>
      </c>
      <c r="B2418" t="s">
        <v>7180</v>
      </c>
      <c r="C2418" t="s">
        <v>7181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7182</v>
      </c>
      <c r="B2419" t="s">
        <v>7183</v>
      </c>
      <c r="C2419" t="s">
        <v>7184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7185</v>
      </c>
      <c r="B2420" t="s">
        <v>7186</v>
      </c>
      <c r="C2420" t="s">
        <v>7187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7188</v>
      </c>
      <c r="B2421" t="s">
        <v>7189</v>
      </c>
      <c r="C2421" t="s">
        <v>7190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7191</v>
      </c>
      <c r="B2422" t="s">
        <v>7192</v>
      </c>
      <c r="C2422" t="s">
        <v>7193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7194</v>
      </c>
      <c r="B2423" t="s">
        <v>7195</v>
      </c>
      <c r="C2423" t="s">
        <v>7196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7197</v>
      </c>
      <c r="B2424" t="s">
        <v>7198</v>
      </c>
      <c r="C2424" t="s">
        <v>7199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7200</v>
      </c>
      <c r="B2425" t="s">
        <v>7201</v>
      </c>
      <c r="C2425" t="s">
        <v>7202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7203</v>
      </c>
      <c r="B2426" t="s">
        <v>7204</v>
      </c>
      <c r="C2426" t="s">
        <v>7205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7206</v>
      </c>
      <c r="B2427" t="s">
        <v>7207</v>
      </c>
      <c r="C2427" t="s">
        <v>7208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7209</v>
      </c>
      <c r="B2428" t="s">
        <v>7210</v>
      </c>
      <c r="C2428" t="s">
        <v>7211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7212</v>
      </c>
      <c r="B2429" t="s">
        <v>7213</v>
      </c>
      <c r="C2429" t="s">
        <v>7214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7215</v>
      </c>
      <c r="B2430" t="s">
        <v>7216</v>
      </c>
      <c r="C2430" t="s">
        <v>7217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7218</v>
      </c>
      <c r="B2431" t="s">
        <v>7219</v>
      </c>
      <c r="C2431" t="s">
        <v>7220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7221</v>
      </c>
      <c r="B2432" t="s">
        <v>7222</v>
      </c>
      <c r="C2432" t="s">
        <v>7223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7224</v>
      </c>
      <c r="B2433" t="s">
        <v>7225</v>
      </c>
      <c r="C2433" t="s">
        <v>7226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7227</v>
      </c>
      <c r="B2434" t="s">
        <v>7228</v>
      </c>
      <c r="C2434" t="s">
        <v>7229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7230</v>
      </c>
      <c r="B2435" t="s">
        <v>7231</v>
      </c>
      <c r="C2435" t="s">
        <v>7232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7233</v>
      </c>
      <c r="B2436" t="s">
        <v>7234</v>
      </c>
      <c r="C2436" t="s">
        <v>7235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7236</v>
      </c>
      <c r="B2437" t="s">
        <v>7237</v>
      </c>
      <c r="C2437" t="s">
        <v>7238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7239</v>
      </c>
      <c r="B2438" t="s">
        <v>7240</v>
      </c>
      <c r="C2438" t="s">
        <v>7241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7242</v>
      </c>
      <c r="B2439" t="s">
        <v>7243</v>
      </c>
      <c r="C2439" t="s">
        <v>7244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7245</v>
      </c>
      <c r="B2440" t="s">
        <v>7246</v>
      </c>
      <c r="C2440" t="s">
        <v>7247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7248</v>
      </c>
      <c r="B2441" t="s">
        <v>7249</v>
      </c>
      <c r="C2441" t="s">
        <v>7250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7251</v>
      </c>
      <c r="B2442" t="s">
        <v>7252</v>
      </c>
      <c r="C2442" t="s">
        <v>7253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7254</v>
      </c>
      <c r="B2443" t="s">
        <v>7255</v>
      </c>
      <c r="C2443" t="s">
        <v>7256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7257</v>
      </c>
      <c r="B2444" t="s">
        <v>7258</v>
      </c>
      <c r="C2444" t="s">
        <v>7259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7260</v>
      </c>
      <c r="B2445" t="s">
        <v>7261</v>
      </c>
      <c r="C2445" t="s">
        <v>7262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7263</v>
      </c>
      <c r="B2446" t="s">
        <v>7264</v>
      </c>
      <c r="C2446" t="s">
        <v>7265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7266</v>
      </c>
      <c r="B2447" t="s">
        <v>7267</v>
      </c>
      <c r="C2447" t="s">
        <v>7268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7269</v>
      </c>
      <c r="B2448" t="s">
        <v>7270</v>
      </c>
      <c r="C2448" t="s">
        <v>7271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7272</v>
      </c>
      <c r="B2449" t="s">
        <v>7273</v>
      </c>
      <c r="C2449" t="s">
        <v>7274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7275</v>
      </c>
      <c r="B2450" t="s">
        <v>7276</v>
      </c>
      <c r="C2450" t="s">
        <v>7277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7278</v>
      </c>
      <c r="B2451" t="s">
        <v>7279</v>
      </c>
      <c r="C2451" t="s">
        <v>7280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7281</v>
      </c>
      <c r="B2452" t="s">
        <v>7282</v>
      </c>
      <c r="C2452" t="s">
        <v>7283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7284</v>
      </c>
      <c r="B2453" t="s">
        <v>7285</v>
      </c>
      <c r="C2453" t="s">
        <v>7286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7287</v>
      </c>
      <c r="B2454" t="s">
        <v>7288</v>
      </c>
      <c r="C2454" t="s">
        <v>7289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7290</v>
      </c>
      <c r="B2455" t="s">
        <v>7291</v>
      </c>
      <c r="C2455" t="s">
        <v>7292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7293</v>
      </c>
      <c r="B2456" t="s">
        <v>7294</v>
      </c>
      <c r="C2456" t="s">
        <v>7295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7296</v>
      </c>
      <c r="B2457" t="s">
        <v>7297</v>
      </c>
      <c r="C2457" t="s">
        <v>7298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7299</v>
      </c>
      <c r="B2458" t="s">
        <v>7300</v>
      </c>
      <c r="C2458" t="s">
        <v>7301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7302</v>
      </c>
      <c r="B2459" t="s">
        <v>7303</v>
      </c>
      <c r="C2459" t="s">
        <v>7304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7305</v>
      </c>
      <c r="B2460" t="s">
        <v>7306</v>
      </c>
      <c r="C2460" t="s">
        <v>7307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7308</v>
      </c>
      <c r="B2461" t="s">
        <v>7309</v>
      </c>
      <c r="C2461" t="s">
        <v>7310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7311</v>
      </c>
      <c r="B2462" t="s">
        <v>7312</v>
      </c>
      <c r="C2462" t="s">
        <v>7313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7314</v>
      </c>
      <c r="B2463" t="s">
        <v>7315</v>
      </c>
      <c r="C2463" t="s">
        <v>7316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7317</v>
      </c>
      <c r="B2464" t="s">
        <v>7318</v>
      </c>
      <c r="C2464" t="s">
        <v>7319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7320</v>
      </c>
      <c r="B2465" t="s">
        <v>7321</v>
      </c>
      <c r="C2465" t="s">
        <v>7322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7323</v>
      </c>
      <c r="B2466" t="s">
        <v>7324</v>
      </c>
      <c r="C2466" t="s">
        <v>7325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7326</v>
      </c>
      <c r="B2467" t="s">
        <v>7327</v>
      </c>
      <c r="C2467" t="s">
        <v>7328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7329</v>
      </c>
      <c r="B2468" t="s">
        <v>7330</v>
      </c>
      <c r="C2468" t="s">
        <v>7331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7332</v>
      </c>
      <c r="B2469" t="s">
        <v>7333</v>
      </c>
      <c r="C2469" t="s">
        <v>7334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7335</v>
      </c>
      <c r="B2470" t="s">
        <v>7336</v>
      </c>
      <c r="C2470" t="s">
        <v>7337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7338</v>
      </c>
      <c r="B2471" t="s">
        <v>7339</v>
      </c>
      <c r="C2471" t="s">
        <v>7340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7341</v>
      </c>
      <c r="B2472" t="s">
        <v>7342</v>
      </c>
      <c r="C2472" t="s">
        <v>7343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7344</v>
      </c>
      <c r="B2473" t="s">
        <v>7345</v>
      </c>
      <c r="C2473" t="s">
        <v>7346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7347</v>
      </c>
      <c r="B2474" t="s">
        <v>7348</v>
      </c>
      <c r="C2474" t="s">
        <v>7349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7350</v>
      </c>
      <c r="B2475" t="s">
        <v>7351</v>
      </c>
      <c r="C2475" t="s">
        <v>7352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7353</v>
      </c>
      <c r="B2476" t="s">
        <v>7351</v>
      </c>
      <c r="C2476" t="s">
        <v>7354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7355</v>
      </c>
      <c r="B2477" t="s">
        <v>7351</v>
      </c>
      <c r="C2477" t="s">
        <v>7356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7357</v>
      </c>
      <c r="B2478" t="s">
        <v>7358</v>
      </c>
      <c r="C2478" t="s">
        <v>7359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7360</v>
      </c>
      <c r="B2479" t="s">
        <v>7361</v>
      </c>
      <c r="C2479" t="s">
        <v>7362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7363</v>
      </c>
      <c r="B2480" t="s">
        <v>7364</v>
      </c>
      <c r="C2480" t="s">
        <v>7365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7366</v>
      </c>
      <c r="B2481" t="s">
        <v>7367</v>
      </c>
      <c r="C2481" t="s">
        <v>7368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7369</v>
      </c>
      <c r="B2482" t="s">
        <v>7370</v>
      </c>
      <c r="C2482" t="s">
        <v>7371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7372</v>
      </c>
      <c r="B2483" t="s">
        <v>7373</v>
      </c>
      <c r="C2483" t="s">
        <v>7374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7375</v>
      </c>
      <c r="B2484" t="s">
        <v>7376</v>
      </c>
      <c r="C2484" t="s">
        <v>7377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7378</v>
      </c>
      <c r="B2485" t="s">
        <v>7379</v>
      </c>
      <c r="C2485" t="s">
        <v>7380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7381</v>
      </c>
      <c r="B2486" t="s">
        <v>7382</v>
      </c>
      <c r="C2486" t="s">
        <v>7383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7384</v>
      </c>
      <c r="B2487" t="s">
        <v>7385</v>
      </c>
      <c r="C2487" t="s">
        <v>7386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7387</v>
      </c>
      <c r="B2488" t="s">
        <v>7388</v>
      </c>
      <c r="C2488" t="s">
        <v>7389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7390</v>
      </c>
      <c r="B2489" t="s">
        <v>7391</v>
      </c>
      <c r="C2489" t="s">
        <v>7392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7393</v>
      </c>
      <c r="B2490" t="s">
        <v>7394</v>
      </c>
      <c r="C2490" t="s">
        <v>7395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7396</v>
      </c>
      <c r="B2491" t="s">
        <v>7397</v>
      </c>
      <c r="C2491" t="s">
        <v>7398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7399</v>
      </c>
      <c r="B2492" t="s">
        <v>7400</v>
      </c>
      <c r="C2492" t="s">
        <v>7401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7402</v>
      </c>
      <c r="B2493" t="s">
        <v>7403</v>
      </c>
      <c r="C2493" t="s">
        <v>7404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7405</v>
      </c>
      <c r="B2494" t="s">
        <v>7406</v>
      </c>
      <c r="C2494" t="s">
        <v>7407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7408</v>
      </c>
      <c r="B2495" t="s">
        <v>7409</v>
      </c>
      <c r="C2495" t="s">
        <v>7410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7411</v>
      </c>
      <c r="B2496" t="s">
        <v>7412</v>
      </c>
      <c r="C2496" t="s">
        <v>7413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7414</v>
      </c>
      <c r="B2497" t="s">
        <v>7415</v>
      </c>
      <c r="C2497" t="s">
        <v>7416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7417</v>
      </c>
      <c r="B2498" t="s">
        <v>7418</v>
      </c>
      <c r="C2498" t="s">
        <v>7419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7420</v>
      </c>
      <c r="B2499" t="s">
        <v>7421</v>
      </c>
      <c r="C2499" t="s">
        <v>7422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7423</v>
      </c>
      <c r="B2500" t="s">
        <v>7424</v>
      </c>
      <c r="C2500" t="s">
        <v>7425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7426</v>
      </c>
      <c r="B2501" t="s">
        <v>7427</v>
      </c>
      <c r="C2501" t="s">
        <v>7428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7429</v>
      </c>
      <c r="B2502" t="s">
        <v>7430</v>
      </c>
      <c r="C2502" t="s">
        <v>7431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7432</v>
      </c>
      <c r="B2503" t="s">
        <v>7433</v>
      </c>
      <c r="C2503" t="s">
        <v>7434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7435</v>
      </c>
      <c r="B2504" t="s">
        <v>7436</v>
      </c>
      <c r="C2504" t="s">
        <v>7437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7438</v>
      </c>
      <c r="B2505" t="s">
        <v>7439</v>
      </c>
      <c r="C2505" t="s">
        <v>7440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7441</v>
      </c>
      <c r="B2506" t="s">
        <v>7442</v>
      </c>
      <c r="C2506" t="s">
        <v>7443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7444</v>
      </c>
      <c r="B2507" t="s">
        <v>7445</v>
      </c>
      <c r="C2507" t="s">
        <v>7446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7447</v>
      </c>
      <c r="B2508" t="s">
        <v>7448</v>
      </c>
      <c r="C2508" t="s">
        <v>7449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7450</v>
      </c>
      <c r="B2509" t="s">
        <v>7451</v>
      </c>
      <c r="C2509" t="s">
        <v>7452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7453</v>
      </c>
      <c r="B2510" t="s">
        <v>7454</v>
      </c>
      <c r="C2510" t="s">
        <v>7455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7456</v>
      </c>
      <c r="B2511" t="s">
        <v>7457</v>
      </c>
      <c r="C2511" t="s">
        <v>7458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7459</v>
      </c>
      <c r="B2512" t="s">
        <v>7460</v>
      </c>
      <c r="C2512" t="s">
        <v>7461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7462</v>
      </c>
      <c r="B2513" t="s">
        <v>7463</v>
      </c>
      <c r="C2513" t="s">
        <v>7464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7465</v>
      </c>
      <c r="B2514" t="s">
        <v>7466</v>
      </c>
      <c r="C2514" t="s">
        <v>7467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7468</v>
      </c>
      <c r="B2515" t="s">
        <v>7469</v>
      </c>
      <c r="C2515" t="s">
        <v>7470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7471</v>
      </c>
      <c r="B2516" t="s">
        <v>7472</v>
      </c>
      <c r="C2516" t="s">
        <v>7473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7474</v>
      </c>
      <c r="B2517" t="s">
        <v>7475</v>
      </c>
      <c r="C2517" t="s">
        <v>7476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7477</v>
      </c>
      <c r="B2518" t="s">
        <v>7478</v>
      </c>
      <c r="C2518" t="s">
        <v>7479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7480</v>
      </c>
      <c r="B2519" t="s">
        <v>7481</v>
      </c>
      <c r="C2519" t="s">
        <v>7482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7483</v>
      </c>
      <c r="B2520" t="s">
        <v>7484</v>
      </c>
      <c r="C2520" t="s">
        <v>7485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7486</v>
      </c>
      <c r="B2521" t="s">
        <v>7487</v>
      </c>
      <c r="C2521" t="s">
        <v>7488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7489</v>
      </c>
      <c r="B2522" t="s">
        <v>7490</v>
      </c>
      <c r="C2522" t="s">
        <v>7491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7492</v>
      </c>
      <c r="B2523" t="s">
        <v>7493</v>
      </c>
      <c r="C2523" t="s">
        <v>7494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7495</v>
      </c>
      <c r="B2524" t="s">
        <v>7496</v>
      </c>
      <c r="C2524" t="s">
        <v>7497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7498</v>
      </c>
      <c r="B2525" t="s">
        <v>7499</v>
      </c>
      <c r="C2525" t="s">
        <v>7500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7501</v>
      </c>
      <c r="B2526" t="s">
        <v>7502</v>
      </c>
      <c r="C2526" t="s">
        <v>7503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7504</v>
      </c>
      <c r="B2527" t="s">
        <v>7505</v>
      </c>
      <c r="C2527" t="s">
        <v>7506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7507</v>
      </c>
      <c r="B2528" t="s">
        <v>7508</v>
      </c>
      <c r="C2528" t="s">
        <v>7509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7510</v>
      </c>
      <c r="B2529" t="s">
        <v>7511</v>
      </c>
      <c r="C2529" t="s">
        <v>7512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7513</v>
      </c>
      <c r="B2530" t="s">
        <v>7514</v>
      </c>
      <c r="C2530" t="s">
        <v>7515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7516</v>
      </c>
      <c r="B2531" t="s">
        <v>7517</v>
      </c>
      <c r="C2531" t="s">
        <v>7518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7519</v>
      </c>
      <c r="B2532" t="s">
        <v>7520</v>
      </c>
      <c r="C2532" t="s">
        <v>7521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7522</v>
      </c>
      <c r="B2533" t="s">
        <v>7523</v>
      </c>
      <c r="C2533" t="s">
        <v>7524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7525</v>
      </c>
      <c r="B2534" t="s">
        <v>7523</v>
      </c>
      <c r="C2534" t="s">
        <v>7526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7527</v>
      </c>
      <c r="B2535" t="s">
        <v>7528</v>
      </c>
      <c r="C2535" t="s">
        <v>7529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7530</v>
      </c>
      <c r="B2536" t="s">
        <v>7531</v>
      </c>
      <c r="C2536" t="s">
        <v>7532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7533</v>
      </c>
      <c r="B2537" t="s">
        <v>7531</v>
      </c>
      <c r="C2537" t="s">
        <v>7534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7535</v>
      </c>
      <c r="B2538" t="s">
        <v>7536</v>
      </c>
      <c r="C2538" t="s">
        <v>7537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7538</v>
      </c>
      <c r="B2539" t="s">
        <v>7539</v>
      </c>
      <c r="C2539" t="s">
        <v>7540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7541</v>
      </c>
      <c r="B2540" t="s">
        <v>7542</v>
      </c>
      <c r="C2540" t="s">
        <v>7543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7544</v>
      </c>
      <c r="B2541" t="s">
        <v>7545</v>
      </c>
      <c r="C2541" t="s">
        <v>7546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7547</v>
      </c>
      <c r="B2542" t="s">
        <v>7548</v>
      </c>
      <c r="C2542" t="s">
        <v>7549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7550</v>
      </c>
      <c r="B2543" t="s">
        <v>7551</v>
      </c>
      <c r="C2543" t="s">
        <v>7552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7553</v>
      </c>
      <c r="B2544" t="s">
        <v>7554</v>
      </c>
      <c r="C2544" t="s">
        <v>7555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7556</v>
      </c>
      <c r="B2545" t="s">
        <v>7557</v>
      </c>
      <c r="C2545" t="s">
        <v>7558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7559</v>
      </c>
      <c r="B2546" t="s">
        <v>7560</v>
      </c>
      <c r="C2546" t="s">
        <v>7561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7562</v>
      </c>
      <c r="B2547" t="s">
        <v>7563</v>
      </c>
      <c r="C2547" t="s">
        <v>7564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7565</v>
      </c>
      <c r="B2548" t="s">
        <v>7566</v>
      </c>
      <c r="C2548" t="s">
        <v>7567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7568</v>
      </c>
      <c r="B2549" t="s">
        <v>7569</v>
      </c>
      <c r="C2549" t="s">
        <v>7570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7571</v>
      </c>
      <c r="B2550" t="s">
        <v>7572</v>
      </c>
      <c r="C2550" t="s">
        <v>7573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7574</v>
      </c>
      <c r="B2551" t="s">
        <v>7575</v>
      </c>
      <c r="C2551" t="s">
        <v>7576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7577</v>
      </c>
      <c r="B2552" t="s">
        <v>7578</v>
      </c>
      <c r="C2552" t="s">
        <v>7579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7580</v>
      </c>
      <c r="B2553" t="s">
        <v>7581</v>
      </c>
      <c r="C2553" t="s">
        <v>7582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7583</v>
      </c>
      <c r="B2554" t="s">
        <v>7584</v>
      </c>
      <c r="C2554" t="s">
        <v>7585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7586</v>
      </c>
      <c r="B2555" t="s">
        <v>7587</v>
      </c>
      <c r="C2555" t="s">
        <v>7588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7589</v>
      </c>
      <c r="B2556" t="s">
        <v>7590</v>
      </c>
      <c r="C2556" t="s">
        <v>7591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7592</v>
      </c>
      <c r="B2557" t="s">
        <v>7593</v>
      </c>
      <c r="C2557" t="s">
        <v>7594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7595</v>
      </c>
      <c r="B2558" t="s">
        <v>7596</v>
      </c>
      <c r="C2558" t="s">
        <v>7597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7598</v>
      </c>
      <c r="B2559" t="s">
        <v>7599</v>
      </c>
      <c r="C2559" t="s">
        <v>7600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7601</v>
      </c>
      <c r="B2560" t="s">
        <v>7602</v>
      </c>
      <c r="C2560" t="s">
        <v>7603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7604</v>
      </c>
      <c r="B2561" t="s">
        <v>7605</v>
      </c>
      <c r="C2561" t="s">
        <v>7606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7607</v>
      </c>
      <c r="B2562" t="s">
        <v>7608</v>
      </c>
      <c r="C2562" t="s">
        <v>7609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7610</v>
      </c>
      <c r="B2563" t="s">
        <v>7611</v>
      </c>
      <c r="C2563" t="s">
        <v>7612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7613</v>
      </c>
      <c r="B2564" t="s">
        <v>7614</v>
      </c>
      <c r="C2564" t="s">
        <v>7615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7616</v>
      </c>
      <c r="B2565" t="s">
        <v>7617</v>
      </c>
      <c r="C2565" t="s">
        <v>7618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7619</v>
      </c>
      <c r="B2566" t="s">
        <v>7620</v>
      </c>
      <c r="C2566" t="s">
        <v>7621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7622</v>
      </c>
      <c r="B2567" t="s">
        <v>7623</v>
      </c>
      <c r="C2567" t="s">
        <v>7624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7625</v>
      </c>
      <c r="B2568" t="s">
        <v>7626</v>
      </c>
      <c r="C2568" t="s">
        <v>7627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7628</v>
      </c>
      <c r="B2569" t="s">
        <v>7629</v>
      </c>
      <c r="C2569" t="s">
        <v>7630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7631</v>
      </c>
      <c r="B2570" t="s">
        <v>7632</v>
      </c>
      <c r="C2570" t="s">
        <v>7633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7634</v>
      </c>
      <c r="B2571" t="s">
        <v>7635</v>
      </c>
      <c r="C2571" t="s">
        <v>7636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7637</v>
      </c>
      <c r="B2572" t="s">
        <v>7638</v>
      </c>
      <c r="C2572" t="s">
        <v>7639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7640</v>
      </c>
      <c r="B2573" t="s">
        <v>7641</v>
      </c>
      <c r="C2573" t="s">
        <v>7642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7643</v>
      </c>
      <c r="B2574" t="s">
        <v>7644</v>
      </c>
      <c r="C2574" t="s">
        <v>7645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7646</v>
      </c>
      <c r="B2575" t="s">
        <v>7647</v>
      </c>
      <c r="C2575" t="s">
        <v>7648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7649</v>
      </c>
      <c r="B2576" t="s">
        <v>7650</v>
      </c>
      <c r="C2576" t="s">
        <v>7651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7652</v>
      </c>
      <c r="B2577" t="s">
        <v>7653</v>
      </c>
      <c r="C2577" t="s">
        <v>7654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7655</v>
      </c>
      <c r="B2578" t="s">
        <v>7656</v>
      </c>
      <c r="C2578" t="s">
        <v>7657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7658</v>
      </c>
      <c r="B2579" t="s">
        <v>7659</v>
      </c>
      <c r="C2579" t="s">
        <v>7660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7661</v>
      </c>
      <c r="B2580" t="s">
        <v>7662</v>
      </c>
      <c r="C2580" t="s">
        <v>7663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7664</v>
      </c>
      <c r="B2581" t="s">
        <v>7665</v>
      </c>
      <c r="C2581" t="s">
        <v>7666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7667</v>
      </c>
      <c r="B2582" t="s">
        <v>7668</v>
      </c>
      <c r="C2582" t="s">
        <v>7669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7670</v>
      </c>
      <c r="B2583" t="s">
        <v>7671</v>
      </c>
      <c r="C2583" t="s">
        <v>7672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7670</v>
      </c>
      <c r="B2584" t="s">
        <v>7671</v>
      </c>
      <c r="C2584" t="s">
        <v>7673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7674</v>
      </c>
      <c r="B2585" t="s">
        <v>7675</v>
      </c>
      <c r="C2585" t="s">
        <v>7676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7677</v>
      </c>
      <c r="B2586" t="s">
        <v>7678</v>
      </c>
      <c r="C2586" t="s">
        <v>7679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7680</v>
      </c>
      <c r="B2587" t="s">
        <v>7681</v>
      </c>
      <c r="C2587" t="s">
        <v>7682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7683</v>
      </c>
      <c r="B2588" t="s">
        <v>7684</v>
      </c>
      <c r="C2588" t="s">
        <v>7685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7686</v>
      </c>
      <c r="B2589" t="s">
        <v>7687</v>
      </c>
      <c r="C2589" t="s">
        <v>7688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7689</v>
      </c>
      <c r="B2590" t="s">
        <v>7690</v>
      </c>
      <c r="C2590" t="s">
        <v>7691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7692</v>
      </c>
      <c r="B2591" t="s">
        <v>7693</v>
      </c>
      <c r="C2591" t="s">
        <v>7694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7695</v>
      </c>
      <c r="B2592" t="s">
        <v>7696</v>
      </c>
      <c r="C2592" t="s">
        <v>7697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7698</v>
      </c>
      <c r="B2593" t="s">
        <v>7699</v>
      </c>
      <c r="C2593" t="s">
        <v>7700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7701</v>
      </c>
      <c r="B2594" t="s">
        <v>7702</v>
      </c>
      <c r="C2594" t="s">
        <v>7703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7704</v>
      </c>
      <c r="B2595" t="s">
        <v>7705</v>
      </c>
      <c r="C2595" t="s">
        <v>7706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7707</v>
      </c>
      <c r="B2596" t="s">
        <v>7708</v>
      </c>
      <c r="C2596" t="s">
        <v>7709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7710</v>
      </c>
      <c r="B2597" t="s">
        <v>7711</v>
      </c>
      <c r="C2597" t="s">
        <v>7712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7713</v>
      </c>
      <c r="B2598" t="s">
        <v>7714</v>
      </c>
      <c r="C2598" t="s">
        <v>7715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7716</v>
      </c>
      <c r="B2599" t="s">
        <v>7717</v>
      </c>
      <c r="C2599" t="s">
        <v>7718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7719</v>
      </c>
      <c r="B2600" t="s">
        <v>7720</v>
      </c>
      <c r="C2600" t="s">
        <v>7721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7722</v>
      </c>
      <c r="B2601" t="s">
        <v>7723</v>
      </c>
      <c r="C2601" t="s">
        <v>7724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7725</v>
      </c>
      <c r="B2602" t="s">
        <v>7726</v>
      </c>
      <c r="C2602" t="s">
        <v>7727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7728</v>
      </c>
      <c r="B2603" t="s">
        <v>7729</v>
      </c>
      <c r="C2603" t="s">
        <v>7730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7731</v>
      </c>
      <c r="B2604" t="s">
        <v>7732</v>
      </c>
      <c r="C2604" t="s">
        <v>7733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7734</v>
      </c>
      <c r="B2605" t="s">
        <v>7735</v>
      </c>
      <c r="C2605" t="s">
        <v>7736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7737</v>
      </c>
      <c r="B2606" t="s">
        <v>7738</v>
      </c>
      <c r="C2606" t="s">
        <v>7739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7740</v>
      </c>
      <c r="B2607" t="s">
        <v>7741</v>
      </c>
      <c r="C2607" t="s">
        <v>7742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7743</v>
      </c>
      <c r="B2608" t="s">
        <v>7744</v>
      </c>
      <c r="C2608" t="s">
        <v>7745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7746</v>
      </c>
      <c r="B2609" t="s">
        <v>7747</v>
      </c>
      <c r="C2609" t="s">
        <v>7748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7749</v>
      </c>
      <c r="B2610" t="s">
        <v>7750</v>
      </c>
      <c r="C2610" t="s">
        <v>7751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7752</v>
      </c>
      <c r="B2611" t="s">
        <v>7753</v>
      </c>
      <c r="C2611" t="s">
        <v>7754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7755</v>
      </c>
      <c r="B2612" t="s">
        <v>7756</v>
      </c>
      <c r="C2612" t="s">
        <v>7757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7758</v>
      </c>
      <c r="B2613" t="s">
        <v>7759</v>
      </c>
      <c r="C2613" t="s">
        <v>7760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7761</v>
      </c>
      <c r="B2614" t="s">
        <v>7762</v>
      </c>
      <c r="C2614" t="s">
        <v>7763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7764</v>
      </c>
      <c r="B2615" t="s">
        <v>7765</v>
      </c>
      <c r="C2615" t="s">
        <v>7766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7767</v>
      </c>
      <c r="B2616" t="s">
        <v>7768</v>
      </c>
      <c r="C2616" t="s">
        <v>7769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7770</v>
      </c>
      <c r="B2617" t="s">
        <v>7771</v>
      </c>
      <c r="C2617" t="s">
        <v>7772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7773</v>
      </c>
      <c r="B2618" t="s">
        <v>7774</v>
      </c>
      <c r="C2618" t="s">
        <v>7775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7776</v>
      </c>
      <c r="B2619" t="s">
        <v>7777</v>
      </c>
      <c r="C2619" t="s">
        <v>7778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7779</v>
      </c>
      <c r="B2620" t="s">
        <v>7780</v>
      </c>
      <c r="C2620" t="s">
        <v>7781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7782</v>
      </c>
      <c r="B2621" t="s">
        <v>7783</v>
      </c>
      <c r="C2621" t="s">
        <v>7784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7785</v>
      </c>
      <c r="B2622" t="s">
        <v>7786</v>
      </c>
      <c r="C2622" t="s">
        <v>7787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7788</v>
      </c>
      <c r="B2623" t="s">
        <v>7789</v>
      </c>
      <c r="C2623" t="s">
        <v>7790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7791</v>
      </c>
      <c r="B2624" t="s">
        <v>7792</v>
      </c>
      <c r="C2624" t="s">
        <v>7793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7794</v>
      </c>
      <c r="B2625" t="s">
        <v>7795</v>
      </c>
      <c r="C2625" t="s">
        <v>7796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7797</v>
      </c>
      <c r="B2626" t="s">
        <v>7798</v>
      </c>
      <c r="C2626" t="s">
        <v>7799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7800</v>
      </c>
      <c r="B2627" t="s">
        <v>7801</v>
      </c>
      <c r="C2627" t="s">
        <v>7802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7803</v>
      </c>
      <c r="B2628" t="s">
        <v>7804</v>
      </c>
      <c r="C2628" t="s">
        <v>7805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7806</v>
      </c>
      <c r="B2629" t="s">
        <v>7804</v>
      </c>
      <c r="C2629" t="s">
        <v>7807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7808</v>
      </c>
      <c r="B2630" t="s">
        <v>7809</v>
      </c>
      <c r="C2630" t="s">
        <v>7810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7811</v>
      </c>
      <c r="B2631" t="s">
        <v>7812</v>
      </c>
      <c r="C2631" t="s">
        <v>7813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7814</v>
      </c>
      <c r="B2632" t="s">
        <v>7815</v>
      </c>
      <c r="C2632" t="s">
        <v>7816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7817</v>
      </c>
      <c r="B2633" t="s">
        <v>7818</v>
      </c>
      <c r="C2633" t="s">
        <v>7819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7820</v>
      </c>
      <c r="B2634" t="s">
        <v>7821</v>
      </c>
      <c r="C2634" t="s">
        <v>7822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7823</v>
      </c>
      <c r="B2635" t="s">
        <v>7824</v>
      </c>
      <c r="C2635" t="s">
        <v>7825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7826</v>
      </c>
      <c r="B2636" t="s">
        <v>7827</v>
      </c>
      <c r="C2636" t="s">
        <v>7828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7829</v>
      </c>
      <c r="B2637" t="s">
        <v>7830</v>
      </c>
      <c r="C2637" t="s">
        <v>7831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7832</v>
      </c>
      <c r="B2638" t="s">
        <v>7833</v>
      </c>
      <c r="C2638" t="s">
        <v>7834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7835</v>
      </c>
      <c r="B2639" t="s">
        <v>7836</v>
      </c>
      <c r="C2639" t="s">
        <v>7837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7838</v>
      </c>
      <c r="B2640" t="s">
        <v>7839</v>
      </c>
      <c r="C2640" t="s">
        <v>7840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7841</v>
      </c>
      <c r="B2641" t="s">
        <v>7842</v>
      </c>
      <c r="C2641" t="s">
        <v>7843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7844</v>
      </c>
      <c r="B2642" t="s">
        <v>7845</v>
      </c>
      <c r="C2642" t="s">
        <v>7846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7847</v>
      </c>
      <c r="B2643" t="s">
        <v>7848</v>
      </c>
      <c r="C2643" t="s">
        <v>7849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7850</v>
      </c>
      <c r="B2644" t="s">
        <v>7851</v>
      </c>
      <c r="C2644" t="s">
        <v>7852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7853</v>
      </c>
      <c r="B2645" t="s">
        <v>7854</v>
      </c>
      <c r="C2645" t="s">
        <v>7855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7856</v>
      </c>
      <c r="B2646" t="s">
        <v>7857</v>
      </c>
      <c r="C2646" t="s">
        <v>7858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7859</v>
      </c>
      <c r="B2647" t="s">
        <v>7860</v>
      </c>
      <c r="C2647" t="s">
        <v>7861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7862</v>
      </c>
      <c r="B2648" t="s">
        <v>7863</v>
      </c>
      <c r="C2648" t="s">
        <v>7864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7865</v>
      </c>
      <c r="B2649" t="s">
        <v>7866</v>
      </c>
      <c r="C2649" t="s">
        <v>7867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7868</v>
      </c>
      <c r="B2650" t="s">
        <v>7869</v>
      </c>
      <c r="C2650" t="s">
        <v>7870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7871</v>
      </c>
      <c r="B2651" t="s">
        <v>7872</v>
      </c>
      <c r="C2651" t="s">
        <v>7873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7874</v>
      </c>
      <c r="B2652" t="s">
        <v>7875</v>
      </c>
      <c r="C2652" t="s">
        <v>7876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7877</v>
      </c>
      <c r="B2653" t="s">
        <v>7878</v>
      </c>
      <c r="C2653" t="s">
        <v>7879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7880</v>
      </c>
      <c r="B2654" t="s">
        <v>7881</v>
      </c>
      <c r="C2654" t="s">
        <v>7882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7883</v>
      </c>
      <c r="B2655" t="s">
        <v>7884</v>
      </c>
      <c r="C2655" t="s">
        <v>7885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7886</v>
      </c>
      <c r="B2656" t="s">
        <v>7887</v>
      </c>
      <c r="C2656" t="s">
        <v>7888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7889</v>
      </c>
      <c r="B2657" t="s">
        <v>7890</v>
      </c>
      <c r="C2657" t="s">
        <v>7891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7892</v>
      </c>
      <c r="B2658" t="s">
        <v>7893</v>
      </c>
      <c r="C2658" t="s">
        <v>7894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7895</v>
      </c>
      <c r="B2659" t="s">
        <v>7896</v>
      </c>
      <c r="C2659" t="s">
        <v>7897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7898</v>
      </c>
      <c r="B2660" t="s">
        <v>7896</v>
      </c>
      <c r="C2660" t="s">
        <v>7899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7900</v>
      </c>
      <c r="B2661" t="s">
        <v>7901</v>
      </c>
      <c r="C2661" t="s">
        <v>7902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7903</v>
      </c>
      <c r="B2662" t="s">
        <v>7904</v>
      </c>
      <c r="C2662" t="s">
        <v>7905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7906</v>
      </c>
      <c r="B2663" t="s">
        <v>7907</v>
      </c>
      <c r="C2663" t="s">
        <v>7908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7909</v>
      </c>
      <c r="B2664" t="s">
        <v>7910</v>
      </c>
      <c r="C2664" t="s">
        <v>7911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7912</v>
      </c>
      <c r="B2665" t="s">
        <v>7913</v>
      </c>
      <c r="C2665" t="s">
        <v>7914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7915</v>
      </c>
      <c r="B2666" t="s">
        <v>7916</v>
      </c>
      <c r="C2666" t="s">
        <v>7917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7918</v>
      </c>
      <c r="B2667" t="s">
        <v>7916</v>
      </c>
      <c r="C2667" t="s">
        <v>7919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7920</v>
      </c>
      <c r="B2668" t="s">
        <v>7916</v>
      </c>
      <c r="C2668" t="s">
        <v>7921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7922</v>
      </c>
      <c r="B2669" t="s">
        <v>7923</v>
      </c>
      <c r="C2669" t="s">
        <v>7924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7925</v>
      </c>
      <c r="B2670" t="s">
        <v>7926</v>
      </c>
      <c r="C2670" t="s">
        <v>7927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7928</v>
      </c>
      <c r="B2671" t="s">
        <v>7929</v>
      </c>
      <c r="C2671" t="s">
        <v>7930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7931</v>
      </c>
      <c r="B2672" t="s">
        <v>7932</v>
      </c>
      <c r="C2672" t="s">
        <v>7933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7934</v>
      </c>
      <c r="B2673" t="s">
        <v>7935</v>
      </c>
      <c r="C2673" t="s">
        <v>7936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7937</v>
      </c>
      <c r="B2674" t="s">
        <v>7938</v>
      </c>
      <c r="C2674" t="s">
        <v>7939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7940</v>
      </c>
      <c r="B2675" t="s">
        <v>7941</v>
      </c>
      <c r="C2675" t="s">
        <v>7942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7943</v>
      </c>
      <c r="B2676" t="s">
        <v>7944</v>
      </c>
      <c r="C2676" t="s">
        <v>7945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7946</v>
      </c>
      <c r="B2677" t="s">
        <v>7947</v>
      </c>
      <c r="C2677" t="s">
        <v>7948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7949</v>
      </c>
      <c r="B2678" t="s">
        <v>7950</v>
      </c>
      <c r="C2678" t="s">
        <v>7951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7952</v>
      </c>
      <c r="B2679" t="s">
        <v>7953</v>
      </c>
      <c r="C2679" t="s">
        <v>7954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7955</v>
      </c>
      <c r="B2680" t="s">
        <v>7956</v>
      </c>
      <c r="C2680" t="s">
        <v>7957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7958</v>
      </c>
      <c r="B2681" t="s">
        <v>7959</v>
      </c>
      <c r="C2681" t="s">
        <v>7960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7961</v>
      </c>
      <c r="B2682" t="s">
        <v>7962</v>
      </c>
      <c r="C2682" t="s">
        <v>7963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7964</v>
      </c>
      <c r="B2683" t="s">
        <v>7965</v>
      </c>
      <c r="C2683" t="s">
        <v>7966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7967</v>
      </c>
      <c r="B2684" t="s">
        <v>7968</v>
      </c>
      <c r="C2684" t="s">
        <v>7969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7970</v>
      </c>
      <c r="B2685" t="s">
        <v>7971</v>
      </c>
      <c r="C2685" t="s">
        <v>7972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7973</v>
      </c>
      <c r="B2686" t="s">
        <v>7974</v>
      </c>
      <c r="C2686" t="s">
        <v>7975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7976</v>
      </c>
      <c r="B2687" t="s">
        <v>7977</v>
      </c>
      <c r="C2687" t="s">
        <v>7978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7979</v>
      </c>
      <c r="B2688" t="s">
        <v>7980</v>
      </c>
      <c r="C2688" t="s">
        <v>7981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7982</v>
      </c>
      <c r="B2689" t="s">
        <v>7983</v>
      </c>
      <c r="C2689" t="s">
        <v>7984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7985</v>
      </c>
      <c r="B2690" t="s">
        <v>7986</v>
      </c>
      <c r="C2690" t="s">
        <v>7987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7988</v>
      </c>
      <c r="B2691" t="s">
        <v>7989</v>
      </c>
      <c r="C2691" t="s">
        <v>7990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7991</v>
      </c>
      <c r="B2692" t="s">
        <v>7992</v>
      </c>
      <c r="C2692" t="s">
        <v>7993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7994</v>
      </c>
      <c r="B2693" t="s">
        <v>7995</v>
      </c>
      <c r="C2693" t="s">
        <v>7996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7997</v>
      </c>
      <c r="B2694" t="s">
        <v>7998</v>
      </c>
      <c r="C2694" t="s">
        <v>7999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8000</v>
      </c>
      <c r="B2695" t="s">
        <v>8001</v>
      </c>
      <c r="C2695" t="s">
        <v>8002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8003</v>
      </c>
      <c r="B2696" t="s">
        <v>8004</v>
      </c>
      <c r="C2696" t="s">
        <v>8005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8006</v>
      </c>
      <c r="B2697" t="s">
        <v>8007</v>
      </c>
      <c r="C2697" t="s">
        <v>8008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8009</v>
      </c>
      <c r="B2698" t="s">
        <v>8010</v>
      </c>
      <c r="C2698" t="s">
        <v>8011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8012</v>
      </c>
      <c r="B2699" t="s">
        <v>8013</v>
      </c>
      <c r="C2699" t="s">
        <v>8014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8015</v>
      </c>
      <c r="B2700" t="s">
        <v>8016</v>
      </c>
      <c r="C2700" t="s">
        <v>8017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8018</v>
      </c>
      <c r="B2701" t="s">
        <v>8019</v>
      </c>
      <c r="C2701" t="s">
        <v>8020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8021</v>
      </c>
      <c r="B2702" t="s">
        <v>8022</v>
      </c>
      <c r="C2702" t="s">
        <v>8023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8024</v>
      </c>
      <c r="B2703" t="s">
        <v>8025</v>
      </c>
      <c r="C2703" t="s">
        <v>8026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8027</v>
      </c>
      <c r="B2704" t="s">
        <v>8028</v>
      </c>
      <c r="C2704" t="s">
        <v>8029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8030</v>
      </c>
      <c r="B2705" t="s">
        <v>8031</v>
      </c>
      <c r="C2705" t="s">
        <v>8032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8033</v>
      </c>
      <c r="B2706" t="s">
        <v>8034</v>
      </c>
      <c r="C2706" t="s">
        <v>8035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8036</v>
      </c>
      <c r="B2707" t="s">
        <v>8037</v>
      </c>
      <c r="C2707" t="s">
        <v>8038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8039</v>
      </c>
      <c r="B2708" t="s">
        <v>8040</v>
      </c>
      <c r="C2708" t="s">
        <v>8041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8042</v>
      </c>
      <c r="B2709" t="s">
        <v>8043</v>
      </c>
      <c r="C2709" t="s">
        <v>8044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8045</v>
      </c>
      <c r="B2710" t="s">
        <v>8046</v>
      </c>
      <c r="C2710" t="s">
        <v>8047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8048</v>
      </c>
      <c r="B2711" t="s">
        <v>8049</v>
      </c>
      <c r="C2711" t="s">
        <v>8050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8051</v>
      </c>
      <c r="B2712" t="s">
        <v>8052</v>
      </c>
      <c r="C2712" t="s">
        <v>8053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8054</v>
      </c>
      <c r="B2713" t="s">
        <v>8055</v>
      </c>
      <c r="C2713" t="s">
        <v>8056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8057</v>
      </c>
      <c r="B2714" t="s">
        <v>8058</v>
      </c>
      <c r="C2714" t="s">
        <v>8059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8060</v>
      </c>
      <c r="B2715" t="s">
        <v>8061</v>
      </c>
      <c r="C2715" t="s">
        <v>8062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8063</v>
      </c>
      <c r="B2716" t="s">
        <v>8064</v>
      </c>
      <c r="C2716" t="s">
        <v>8065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8066</v>
      </c>
      <c r="B2717" t="s">
        <v>8067</v>
      </c>
      <c r="C2717" t="s">
        <v>8068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8069</v>
      </c>
      <c r="B2718" t="s">
        <v>8070</v>
      </c>
      <c r="C2718" t="s">
        <v>8071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8072</v>
      </c>
      <c r="B2719" t="s">
        <v>8073</v>
      </c>
      <c r="C2719" t="s">
        <v>8074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8075</v>
      </c>
      <c r="B2720" t="s">
        <v>8076</v>
      </c>
      <c r="C2720" t="s">
        <v>8077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8078</v>
      </c>
      <c r="B2721" t="s">
        <v>8079</v>
      </c>
      <c r="C2721" t="s">
        <v>8080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8081</v>
      </c>
      <c r="B2722" t="s">
        <v>8082</v>
      </c>
      <c r="C2722" t="s">
        <v>8083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8084</v>
      </c>
      <c r="B2723" t="s">
        <v>8085</v>
      </c>
      <c r="C2723" t="s">
        <v>8086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8087</v>
      </c>
      <c r="B2724" t="s">
        <v>8088</v>
      </c>
      <c r="C2724" t="s">
        <v>8089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8090</v>
      </c>
      <c r="B2725" t="s">
        <v>8091</v>
      </c>
      <c r="C2725" t="s">
        <v>8092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8093</v>
      </c>
      <c r="B2726" t="s">
        <v>8094</v>
      </c>
      <c r="C2726" t="s">
        <v>8095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8096</v>
      </c>
      <c r="B2727" t="s">
        <v>8097</v>
      </c>
      <c r="C2727" t="s">
        <v>8098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8099</v>
      </c>
      <c r="B2728" t="s">
        <v>8100</v>
      </c>
      <c r="C2728" t="s">
        <v>8101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8102</v>
      </c>
      <c r="B2729" t="s">
        <v>8103</v>
      </c>
      <c r="C2729" t="s">
        <v>8104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8105</v>
      </c>
      <c r="B2730" t="s">
        <v>8103</v>
      </c>
      <c r="C2730" t="s">
        <v>8106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8107</v>
      </c>
      <c r="B2731" t="s">
        <v>8108</v>
      </c>
      <c r="C2731" t="s">
        <v>8109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8110</v>
      </c>
      <c r="B2732" t="s">
        <v>8111</v>
      </c>
      <c r="C2732" t="s">
        <v>8112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8113</v>
      </c>
      <c r="B2733" t="s">
        <v>8114</v>
      </c>
      <c r="C2733" t="s">
        <v>8115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8116</v>
      </c>
      <c r="B2734" t="s">
        <v>8117</v>
      </c>
      <c r="C2734" t="s">
        <v>8118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8119</v>
      </c>
      <c r="B2735" t="s">
        <v>8120</v>
      </c>
      <c r="C2735" t="s">
        <v>8121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8122</v>
      </c>
      <c r="B2736" t="s">
        <v>8123</v>
      </c>
      <c r="C2736" t="s">
        <v>8124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8125</v>
      </c>
      <c r="B2737" t="s">
        <v>8126</v>
      </c>
      <c r="C2737" t="s">
        <v>8127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8128</v>
      </c>
      <c r="B2738" t="s">
        <v>8129</v>
      </c>
      <c r="C2738" t="s">
        <v>8130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8131</v>
      </c>
      <c r="B2739" t="s">
        <v>8132</v>
      </c>
      <c r="C2739" t="s">
        <v>8133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8134</v>
      </c>
      <c r="B2740" t="s">
        <v>8135</v>
      </c>
      <c r="C2740" t="s">
        <v>8136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8137</v>
      </c>
      <c r="B2741" t="s">
        <v>8138</v>
      </c>
      <c r="C2741" t="s">
        <v>8139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8140</v>
      </c>
      <c r="B2742" t="s">
        <v>8141</v>
      </c>
      <c r="C2742" t="s">
        <v>8142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8143</v>
      </c>
      <c r="B2743" t="s">
        <v>8144</v>
      </c>
      <c r="C2743" t="s">
        <v>8145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8146</v>
      </c>
      <c r="B2744" t="s">
        <v>8147</v>
      </c>
      <c r="C2744" t="s">
        <v>8148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8149</v>
      </c>
      <c r="B2745" t="s">
        <v>8150</v>
      </c>
      <c r="C2745" t="s">
        <v>8151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8152</v>
      </c>
      <c r="B2746" t="s">
        <v>8153</v>
      </c>
      <c r="C2746" t="s">
        <v>8154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8155</v>
      </c>
      <c r="B2747" t="s">
        <v>8156</v>
      </c>
      <c r="C2747" t="s">
        <v>8157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8158</v>
      </c>
      <c r="B2748" t="s">
        <v>8159</v>
      </c>
      <c r="C2748" t="s">
        <v>8160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8161</v>
      </c>
      <c r="B2749" t="s">
        <v>8162</v>
      </c>
      <c r="C2749" t="s">
        <v>8163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8164</v>
      </c>
      <c r="B2750" t="s">
        <v>8165</v>
      </c>
      <c r="C2750" t="s">
        <v>8166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8167</v>
      </c>
      <c r="B2751" t="s">
        <v>8168</v>
      </c>
      <c r="C2751" t="s">
        <v>8169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8170</v>
      </c>
      <c r="B2752" t="s">
        <v>8171</v>
      </c>
      <c r="C2752" t="s">
        <v>8172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8173</v>
      </c>
      <c r="B2753" t="s">
        <v>8174</v>
      </c>
      <c r="C2753" t="s">
        <v>8175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8176</v>
      </c>
      <c r="B2754" t="s">
        <v>8177</v>
      </c>
      <c r="C2754" t="s">
        <v>8178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8179</v>
      </c>
      <c r="B2755" t="s">
        <v>8180</v>
      </c>
      <c r="C2755" t="s">
        <v>8181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8182</v>
      </c>
      <c r="B2756" t="s">
        <v>8183</v>
      </c>
      <c r="C2756" t="s">
        <v>8184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8185</v>
      </c>
      <c r="B2757" t="s">
        <v>8186</v>
      </c>
      <c r="C2757" t="s">
        <v>8187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8188</v>
      </c>
      <c r="B2758" t="s">
        <v>8189</v>
      </c>
      <c r="C2758" t="s">
        <v>8190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8191</v>
      </c>
      <c r="B2759" t="s">
        <v>8192</v>
      </c>
      <c r="C2759" t="s">
        <v>8193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8194</v>
      </c>
      <c r="B2760" t="s">
        <v>8195</v>
      </c>
      <c r="C2760" t="s">
        <v>8196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8197</v>
      </c>
      <c r="B2761" t="s">
        <v>8198</v>
      </c>
      <c r="C2761" t="s">
        <v>8199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8200</v>
      </c>
      <c r="B2762" t="s">
        <v>8201</v>
      </c>
      <c r="C2762" t="s">
        <v>8202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8203</v>
      </c>
      <c r="B2763" t="s">
        <v>8204</v>
      </c>
      <c r="C2763" t="s">
        <v>8205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8206</v>
      </c>
      <c r="B2764" t="s">
        <v>8207</v>
      </c>
      <c r="C2764" t="s">
        <v>8208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8209</v>
      </c>
      <c r="B2765" t="s">
        <v>8210</v>
      </c>
      <c r="C2765" t="s">
        <v>8211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8212</v>
      </c>
      <c r="B2766" t="s">
        <v>8213</v>
      </c>
      <c r="C2766" t="s">
        <v>8214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8215</v>
      </c>
      <c r="B2767" t="s">
        <v>8216</v>
      </c>
      <c r="C2767" t="s">
        <v>8217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8218</v>
      </c>
      <c r="B2768" t="s">
        <v>8219</v>
      </c>
      <c r="C2768" t="s">
        <v>8220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8221</v>
      </c>
      <c r="B2769" t="s">
        <v>8222</v>
      </c>
      <c r="C2769" t="s">
        <v>8223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8224</v>
      </c>
      <c r="B2770" t="s">
        <v>8225</v>
      </c>
      <c r="C2770" t="s">
        <v>8226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8227</v>
      </c>
      <c r="B2771" t="s">
        <v>8228</v>
      </c>
      <c r="C2771" t="s">
        <v>8229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8230</v>
      </c>
      <c r="B2772" t="s">
        <v>8231</v>
      </c>
      <c r="C2772" t="s">
        <v>8232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8233</v>
      </c>
      <c r="B2773" t="s">
        <v>8234</v>
      </c>
      <c r="C2773" t="s">
        <v>8235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8236</v>
      </c>
      <c r="B2774" t="s">
        <v>8237</v>
      </c>
      <c r="C2774" t="s">
        <v>8238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8239</v>
      </c>
      <c r="B2775" t="s">
        <v>8240</v>
      </c>
      <c r="C2775" t="s">
        <v>8241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8242</v>
      </c>
      <c r="B2776" t="s">
        <v>8243</v>
      </c>
      <c r="C2776" t="s">
        <v>8244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8245</v>
      </c>
      <c r="B2777" t="s">
        <v>8243</v>
      </c>
      <c r="C2777" t="s">
        <v>8246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8247</v>
      </c>
      <c r="B2778" t="s">
        <v>8248</v>
      </c>
      <c r="C2778" t="s">
        <v>8249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8250</v>
      </c>
      <c r="B2779" t="s">
        <v>8251</v>
      </c>
      <c r="C2779" t="s">
        <v>8252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8253</v>
      </c>
      <c r="B2780" t="s">
        <v>8254</v>
      </c>
      <c r="C2780" t="s">
        <v>8255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8256</v>
      </c>
      <c r="B2781" t="s">
        <v>8257</v>
      </c>
      <c r="C2781" t="s">
        <v>8258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8259</v>
      </c>
      <c r="B2782" t="s">
        <v>8260</v>
      </c>
      <c r="C2782" t="s">
        <v>8261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8262</v>
      </c>
      <c r="B2783" t="s">
        <v>8263</v>
      </c>
      <c r="C2783" t="s">
        <v>8264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8265</v>
      </c>
      <c r="B2784" t="s">
        <v>8266</v>
      </c>
      <c r="C2784" t="s">
        <v>8267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8268</v>
      </c>
      <c r="B2785" t="s">
        <v>8269</v>
      </c>
      <c r="C2785" t="s">
        <v>8270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8271</v>
      </c>
      <c r="B2786" t="s">
        <v>8272</v>
      </c>
      <c r="C2786" t="s">
        <v>8273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8274</v>
      </c>
      <c r="B2787" t="s">
        <v>8275</v>
      </c>
      <c r="C2787" t="s">
        <v>8276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8277</v>
      </c>
      <c r="B2788" t="s">
        <v>8278</v>
      </c>
      <c r="C2788" t="s">
        <v>8279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8280</v>
      </c>
      <c r="B2789" t="s">
        <v>8281</v>
      </c>
      <c r="C2789" t="s">
        <v>8282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8283</v>
      </c>
      <c r="B2790" t="s">
        <v>8284</v>
      </c>
      <c r="C2790" t="s">
        <v>8285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8286</v>
      </c>
      <c r="B2791" t="s">
        <v>8287</v>
      </c>
      <c r="C2791" t="s">
        <v>8288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8289</v>
      </c>
      <c r="B2792" t="s">
        <v>8290</v>
      </c>
      <c r="C2792" t="s">
        <v>8291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8292</v>
      </c>
      <c r="B2793" t="s">
        <v>8293</v>
      </c>
      <c r="C2793" t="s">
        <v>8294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8295</v>
      </c>
      <c r="B2794" t="s">
        <v>8296</v>
      </c>
      <c r="C2794" t="s">
        <v>8297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8298</v>
      </c>
      <c r="B2795" t="s">
        <v>8299</v>
      </c>
      <c r="C2795" t="s">
        <v>8300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8301</v>
      </c>
      <c r="B2796" t="s">
        <v>8302</v>
      </c>
      <c r="C2796" t="s">
        <v>8303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8304</v>
      </c>
      <c r="B2797" t="s">
        <v>8305</v>
      </c>
      <c r="C2797" t="s">
        <v>8306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8307</v>
      </c>
      <c r="B2798" t="s">
        <v>8308</v>
      </c>
      <c r="C2798" t="s">
        <v>8309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8310</v>
      </c>
      <c r="B2799" t="s">
        <v>8311</v>
      </c>
      <c r="C2799" t="s">
        <v>8312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8313</v>
      </c>
      <c r="B2800" t="s">
        <v>8314</v>
      </c>
      <c r="C2800" t="s">
        <v>8315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8316</v>
      </c>
      <c r="B2801" t="s">
        <v>8317</v>
      </c>
      <c r="C2801" t="s">
        <v>8318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8319</v>
      </c>
      <c r="B2802" t="s">
        <v>8320</v>
      </c>
      <c r="C2802" t="s">
        <v>8321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8322</v>
      </c>
      <c r="B2803" t="s">
        <v>8323</v>
      </c>
      <c r="C2803" t="s">
        <v>8324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8325</v>
      </c>
      <c r="B2804" t="s">
        <v>8326</v>
      </c>
      <c r="C2804" t="s">
        <v>8327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8328</v>
      </c>
      <c r="B2805" t="s">
        <v>8329</v>
      </c>
      <c r="C2805" t="s">
        <v>8330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8331</v>
      </c>
      <c r="B2806" t="s">
        <v>8332</v>
      </c>
      <c r="C2806" t="s">
        <v>8333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8334</v>
      </c>
      <c r="B2807" t="s">
        <v>8335</v>
      </c>
      <c r="C2807" t="s">
        <v>8336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8337</v>
      </c>
      <c r="B2808" t="s">
        <v>8338</v>
      </c>
      <c r="C2808" t="s">
        <v>8339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8340</v>
      </c>
      <c r="B2809" t="s">
        <v>8341</v>
      </c>
      <c r="C2809" t="s">
        <v>8342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8343</v>
      </c>
      <c r="B2810" t="s">
        <v>8344</v>
      </c>
      <c r="C2810" t="s">
        <v>8345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8346</v>
      </c>
      <c r="B2811" t="s">
        <v>8347</v>
      </c>
      <c r="C2811" t="s">
        <v>8348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8349</v>
      </c>
      <c r="B2812" t="s">
        <v>8347</v>
      </c>
      <c r="C2812" t="s">
        <v>8350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8351</v>
      </c>
      <c r="B2813" t="s">
        <v>8352</v>
      </c>
      <c r="C2813" t="s">
        <v>8353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8354</v>
      </c>
      <c r="B2814" t="s">
        <v>8355</v>
      </c>
      <c r="C2814" t="s">
        <v>8356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8357</v>
      </c>
      <c r="B2815" t="s">
        <v>8358</v>
      </c>
      <c r="C2815" t="s">
        <v>8359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8360</v>
      </c>
      <c r="B2816" t="s">
        <v>8361</v>
      </c>
      <c r="C2816" t="s">
        <v>8362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8363</v>
      </c>
      <c r="B2817" t="s">
        <v>8364</v>
      </c>
      <c r="C2817" t="s">
        <v>8365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8366</v>
      </c>
      <c r="B2818" t="s">
        <v>8367</v>
      </c>
      <c r="C2818" t="s">
        <v>8368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8369</v>
      </c>
      <c r="B2819" t="s">
        <v>8370</v>
      </c>
      <c r="C2819" t="s">
        <v>8371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8372</v>
      </c>
      <c r="B2820" t="s">
        <v>8373</v>
      </c>
      <c r="C2820" t="s">
        <v>8374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8375</v>
      </c>
      <c r="B2821" t="s">
        <v>8376</v>
      </c>
      <c r="C2821" t="s">
        <v>8377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8378</v>
      </c>
      <c r="B2822" t="s">
        <v>8379</v>
      </c>
      <c r="C2822" t="s">
        <v>8380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8381</v>
      </c>
      <c r="B2823" t="s">
        <v>8382</v>
      </c>
      <c r="C2823" t="s">
        <v>8383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8384</v>
      </c>
      <c r="B2824" t="s">
        <v>8385</v>
      </c>
      <c r="C2824" t="s">
        <v>8386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8387</v>
      </c>
      <c r="B2825" t="s">
        <v>8388</v>
      </c>
      <c r="C2825" t="s">
        <v>8389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8390</v>
      </c>
      <c r="B2826" t="s">
        <v>8391</v>
      </c>
      <c r="C2826" t="s">
        <v>8392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8393</v>
      </c>
      <c r="B2827" t="s">
        <v>8394</v>
      </c>
      <c r="C2827" t="s">
        <v>8395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8396</v>
      </c>
      <c r="B2828" t="s">
        <v>8397</v>
      </c>
      <c r="C2828" t="s">
        <v>8398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8399</v>
      </c>
      <c r="B2829" t="s">
        <v>8400</v>
      </c>
      <c r="C2829" t="s">
        <v>8401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8402</v>
      </c>
      <c r="B2830" t="s">
        <v>8403</v>
      </c>
      <c r="C2830" t="s">
        <v>8404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8405</v>
      </c>
      <c r="B2831" t="s">
        <v>8406</v>
      </c>
      <c r="C2831" t="s">
        <v>8407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8408</v>
      </c>
      <c r="B2832" t="s">
        <v>8409</v>
      </c>
      <c r="C2832" t="s">
        <v>8410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8411</v>
      </c>
      <c r="B2833" t="s">
        <v>8412</v>
      </c>
      <c r="C2833" t="s">
        <v>8413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8414</v>
      </c>
      <c r="B2834" t="s">
        <v>8415</v>
      </c>
      <c r="C2834" t="s">
        <v>8416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8417</v>
      </c>
      <c r="B2835" t="s">
        <v>8418</v>
      </c>
      <c r="C2835" t="s">
        <v>8419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8420</v>
      </c>
      <c r="B2836" t="s">
        <v>8421</v>
      </c>
      <c r="C2836" t="s">
        <v>8422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8423</v>
      </c>
      <c r="B2837" t="s">
        <v>8424</v>
      </c>
      <c r="C2837" t="s">
        <v>8425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8426</v>
      </c>
      <c r="B2838" t="s">
        <v>8427</v>
      </c>
      <c r="C2838" t="s">
        <v>8428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8429</v>
      </c>
      <c r="B2839" t="s">
        <v>8430</v>
      </c>
      <c r="C2839" t="s">
        <v>8431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8432</v>
      </c>
      <c r="B2840" t="s">
        <v>8433</v>
      </c>
      <c r="C2840" t="s">
        <v>8434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8435</v>
      </c>
      <c r="B2841" t="s">
        <v>8436</v>
      </c>
      <c r="C2841" t="s">
        <v>8437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8438</v>
      </c>
      <c r="B2842" t="s">
        <v>8439</v>
      </c>
      <c r="C2842" t="s">
        <v>8440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8441</v>
      </c>
      <c r="B2843" t="s">
        <v>8442</v>
      </c>
      <c r="C2843" t="s">
        <v>8443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8444</v>
      </c>
      <c r="B2844" t="s">
        <v>8445</v>
      </c>
      <c r="C2844" t="s">
        <v>8446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8447</v>
      </c>
      <c r="B2845" t="s">
        <v>8448</v>
      </c>
      <c r="C2845" t="s">
        <v>8449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8450</v>
      </c>
      <c r="B2846" t="s">
        <v>8451</v>
      </c>
      <c r="C2846" t="s">
        <v>8452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8453</v>
      </c>
      <c r="B2847" t="s">
        <v>8454</v>
      </c>
      <c r="C2847" t="s">
        <v>8455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8456</v>
      </c>
      <c r="B2848" t="s">
        <v>8457</v>
      </c>
      <c r="C2848" t="s">
        <v>8458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8459</v>
      </c>
      <c r="B2849" t="s">
        <v>8460</v>
      </c>
      <c r="C2849" t="s">
        <v>8461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8462</v>
      </c>
      <c r="B2850" t="s">
        <v>8463</v>
      </c>
      <c r="C2850" t="s">
        <v>8464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8465</v>
      </c>
      <c r="B2851" t="s">
        <v>8466</v>
      </c>
      <c r="C2851" t="s">
        <v>8467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8468</v>
      </c>
      <c r="B2852" t="s">
        <v>8469</v>
      </c>
      <c r="C2852" t="s">
        <v>8470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8471</v>
      </c>
      <c r="B2853" t="s">
        <v>8472</v>
      </c>
      <c r="C2853" t="s">
        <v>8473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8474</v>
      </c>
      <c r="B2854" t="s">
        <v>8475</v>
      </c>
      <c r="C2854" t="s">
        <v>8476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8477</v>
      </c>
      <c r="B2855" t="s">
        <v>8478</v>
      </c>
      <c r="C2855" t="s">
        <v>8479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8480</v>
      </c>
      <c r="B2856" t="s">
        <v>8481</v>
      </c>
      <c r="C2856" t="s">
        <v>8482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8483</v>
      </c>
      <c r="B2857" t="s">
        <v>8484</v>
      </c>
      <c r="C2857" t="s">
        <v>8485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8486</v>
      </c>
      <c r="B2858" t="s">
        <v>8487</v>
      </c>
      <c r="C2858" t="s">
        <v>8488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8489</v>
      </c>
      <c r="B2859" t="s">
        <v>8490</v>
      </c>
      <c r="C2859" t="s">
        <v>8491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8492</v>
      </c>
      <c r="B2860" t="s">
        <v>8493</v>
      </c>
      <c r="C2860" t="s">
        <v>8494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8495</v>
      </c>
      <c r="B2861" t="s">
        <v>8496</v>
      </c>
      <c r="C2861" t="s">
        <v>8497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8498</v>
      </c>
      <c r="B2862" t="s">
        <v>8499</v>
      </c>
      <c r="C2862" t="s">
        <v>8500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8501</v>
      </c>
      <c r="B2863" t="s">
        <v>8502</v>
      </c>
      <c r="C2863" t="s">
        <v>8503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8504</v>
      </c>
      <c r="B2864" t="s">
        <v>8505</v>
      </c>
      <c r="C2864" t="s">
        <v>8506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8507</v>
      </c>
      <c r="B2865" t="s">
        <v>8508</v>
      </c>
      <c r="C2865" t="s">
        <v>8509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8510</v>
      </c>
      <c r="B2866" t="s">
        <v>8511</v>
      </c>
      <c r="C2866" t="s">
        <v>8512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8513</v>
      </c>
      <c r="B2867" t="s">
        <v>8514</v>
      </c>
      <c r="C2867" t="s">
        <v>8515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8516</v>
      </c>
      <c r="B2868" t="s">
        <v>8517</v>
      </c>
      <c r="C2868" t="s">
        <v>8518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8519</v>
      </c>
      <c r="B2869" t="s">
        <v>8520</v>
      </c>
      <c r="C2869" t="s">
        <v>8521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8522</v>
      </c>
      <c r="B2870" t="s">
        <v>8523</v>
      </c>
      <c r="C2870" t="s">
        <v>8524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8525</v>
      </c>
      <c r="B2871" t="s">
        <v>8526</v>
      </c>
      <c r="C2871" t="s">
        <v>8527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8528</v>
      </c>
      <c r="B2872" t="s">
        <v>8529</v>
      </c>
      <c r="C2872" t="s">
        <v>8530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8531</v>
      </c>
      <c r="B2873" t="s">
        <v>8532</v>
      </c>
      <c r="C2873" t="s">
        <v>8533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8534</v>
      </c>
      <c r="B2874" t="s">
        <v>8535</v>
      </c>
      <c r="C2874" t="s">
        <v>8536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8537</v>
      </c>
      <c r="B2875" t="s">
        <v>8538</v>
      </c>
      <c r="C2875" t="s">
        <v>8539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8540</v>
      </c>
      <c r="B2876" t="s">
        <v>8541</v>
      </c>
      <c r="C2876" t="s">
        <v>8542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8543</v>
      </c>
      <c r="B2877" t="s">
        <v>8544</v>
      </c>
      <c r="C2877" t="s">
        <v>8545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8546</v>
      </c>
      <c r="B2878" t="s">
        <v>8547</v>
      </c>
      <c r="C2878" t="s">
        <v>8548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8549</v>
      </c>
      <c r="B2879" t="s">
        <v>8550</v>
      </c>
      <c r="C2879" t="s">
        <v>8551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8552</v>
      </c>
      <c r="B2880" t="s">
        <v>8553</v>
      </c>
      <c r="C2880" t="s">
        <v>8554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8555</v>
      </c>
      <c r="B2881" t="s">
        <v>8556</v>
      </c>
      <c r="C2881" t="s">
        <v>8557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8558</v>
      </c>
      <c r="B2882" t="s">
        <v>8559</v>
      </c>
      <c r="C2882" t="s">
        <v>8560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8561</v>
      </c>
      <c r="B2883" t="s">
        <v>8562</v>
      </c>
      <c r="C2883" t="s">
        <v>8563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8564</v>
      </c>
      <c r="B2884" t="s">
        <v>8565</v>
      </c>
      <c r="C2884" t="s">
        <v>8566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8567</v>
      </c>
      <c r="B2885" t="s">
        <v>8568</v>
      </c>
      <c r="C2885" t="s">
        <v>8569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8570</v>
      </c>
      <c r="B2886" t="s">
        <v>8571</v>
      </c>
      <c r="C2886" t="s">
        <v>8572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8573</v>
      </c>
      <c r="B2887" t="s">
        <v>8574</v>
      </c>
      <c r="C2887" t="s">
        <v>8575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8576</v>
      </c>
      <c r="B2888" t="s">
        <v>8577</v>
      </c>
      <c r="C2888" t="s">
        <v>8578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8579</v>
      </c>
      <c r="B2889" t="s">
        <v>8580</v>
      </c>
      <c r="C2889" t="s">
        <v>8581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8582</v>
      </c>
      <c r="B2890" t="s">
        <v>8583</v>
      </c>
      <c r="C2890" t="s">
        <v>8584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8585</v>
      </c>
      <c r="B2891" t="s">
        <v>8586</v>
      </c>
      <c r="C2891" t="s">
        <v>8587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8588</v>
      </c>
      <c r="B2892" t="s">
        <v>8589</v>
      </c>
      <c r="C2892" t="s">
        <v>8590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8591</v>
      </c>
      <c r="B2893" t="s">
        <v>8592</v>
      </c>
      <c r="C2893" t="s">
        <v>8593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8594</v>
      </c>
      <c r="B2894" t="s">
        <v>8595</v>
      </c>
      <c r="C2894" t="s">
        <v>8596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8597</v>
      </c>
      <c r="B2895" t="s">
        <v>8598</v>
      </c>
      <c r="C2895" t="s">
        <v>8599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8600</v>
      </c>
      <c r="B2896" t="s">
        <v>8601</v>
      </c>
      <c r="C2896" t="s">
        <v>8602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8603</v>
      </c>
      <c r="B2897" t="s">
        <v>8604</v>
      </c>
      <c r="C2897" t="s">
        <v>8605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8606</v>
      </c>
      <c r="B2898" t="s">
        <v>8607</v>
      </c>
      <c r="C2898" t="s">
        <v>8608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8609</v>
      </c>
      <c r="B2899" t="s">
        <v>8610</v>
      </c>
      <c r="C2899" t="s">
        <v>8611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8612</v>
      </c>
      <c r="B2900" t="s">
        <v>8613</v>
      </c>
      <c r="C2900" t="s">
        <v>8614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8615</v>
      </c>
      <c r="B2901" t="s">
        <v>8616</v>
      </c>
      <c r="C2901" t="s">
        <v>8617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8618</v>
      </c>
      <c r="B2902" t="s">
        <v>8619</v>
      </c>
      <c r="C2902" t="s">
        <v>8620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8621</v>
      </c>
      <c r="B2903" t="s">
        <v>8622</v>
      </c>
      <c r="C2903" t="s">
        <v>8623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8624</v>
      </c>
      <c r="B2904" t="s">
        <v>8625</v>
      </c>
      <c r="C2904" t="s">
        <v>8626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8627</v>
      </c>
      <c r="B2905" t="s">
        <v>8628</v>
      </c>
      <c r="C2905" t="s">
        <v>8629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8630</v>
      </c>
      <c r="B2906" t="s">
        <v>8631</v>
      </c>
      <c r="C2906" t="s">
        <v>8632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8633</v>
      </c>
      <c r="B2907" t="s">
        <v>8634</v>
      </c>
      <c r="C2907" t="s">
        <v>8635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8636</v>
      </c>
      <c r="B2908" t="s">
        <v>8637</v>
      </c>
      <c r="C2908" t="s">
        <v>8638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8639</v>
      </c>
      <c r="B2909" t="s">
        <v>8637</v>
      </c>
      <c r="C2909" t="s">
        <v>8640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8641</v>
      </c>
      <c r="B2910" t="s">
        <v>8642</v>
      </c>
      <c r="C2910" t="s">
        <v>8643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8644</v>
      </c>
      <c r="B2911" t="s">
        <v>8645</v>
      </c>
      <c r="C2911" t="s">
        <v>8646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8647</v>
      </c>
      <c r="B2912" t="s">
        <v>8648</v>
      </c>
      <c r="C2912" t="s">
        <v>8649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8650</v>
      </c>
      <c r="B2913" t="s">
        <v>8651</v>
      </c>
      <c r="C2913" t="s">
        <v>8652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8653</v>
      </c>
      <c r="B2914" t="s">
        <v>8654</v>
      </c>
      <c r="C2914" t="s">
        <v>8655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8656</v>
      </c>
      <c r="B2915" t="s">
        <v>8657</v>
      </c>
      <c r="C2915" t="s">
        <v>8658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8659</v>
      </c>
      <c r="B2916" t="s">
        <v>8660</v>
      </c>
      <c r="C2916" t="s">
        <v>8661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8662</v>
      </c>
      <c r="B2917" t="s">
        <v>8663</v>
      </c>
      <c r="C2917" t="s">
        <v>8664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8665</v>
      </c>
      <c r="B2918" t="s">
        <v>8666</v>
      </c>
      <c r="C2918" t="s">
        <v>8667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8668</v>
      </c>
      <c r="B2919" t="s">
        <v>8669</v>
      </c>
      <c r="C2919" t="s">
        <v>8670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8671</v>
      </c>
      <c r="B2920" t="s">
        <v>8672</v>
      </c>
      <c r="C2920" t="s">
        <v>8673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8674</v>
      </c>
      <c r="B2921" t="s">
        <v>8675</v>
      </c>
      <c r="C2921" t="s">
        <v>8676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8677</v>
      </c>
      <c r="B2922" t="s">
        <v>8678</v>
      </c>
      <c r="C2922" t="s">
        <v>8679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8680</v>
      </c>
      <c r="B2923" t="s">
        <v>8678</v>
      </c>
      <c r="C2923" t="s">
        <v>8681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8682</v>
      </c>
      <c r="B2924" t="s">
        <v>8683</v>
      </c>
      <c r="C2924" t="s">
        <v>8684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8685</v>
      </c>
      <c r="B2925" t="s">
        <v>8686</v>
      </c>
      <c r="C2925" t="s">
        <v>8687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8688</v>
      </c>
      <c r="B2926" t="s">
        <v>8689</v>
      </c>
      <c r="C2926" t="s">
        <v>8690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8691</v>
      </c>
      <c r="B2927" t="s">
        <v>8692</v>
      </c>
      <c r="C2927" t="s">
        <v>8693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8694</v>
      </c>
      <c r="B2928" t="s">
        <v>8695</v>
      </c>
      <c r="C2928" t="s">
        <v>8696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8697</v>
      </c>
      <c r="B2929" t="s">
        <v>8698</v>
      </c>
      <c r="C2929" t="s">
        <v>8699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8700</v>
      </c>
      <c r="B2930" t="s">
        <v>8701</v>
      </c>
      <c r="C2930" t="s">
        <v>8702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8703</v>
      </c>
      <c r="B2931" t="s">
        <v>8704</v>
      </c>
      <c r="C2931" t="s">
        <v>8705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8706</v>
      </c>
      <c r="B2932" t="s">
        <v>8707</v>
      </c>
      <c r="C2932" t="s">
        <v>8708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8709</v>
      </c>
      <c r="B2933" t="s">
        <v>8710</v>
      </c>
      <c r="C2933" t="s">
        <v>8711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8712</v>
      </c>
      <c r="B2934" t="s">
        <v>8713</v>
      </c>
      <c r="C2934" t="s">
        <v>8714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8715</v>
      </c>
      <c r="B2935" t="s">
        <v>8716</v>
      </c>
      <c r="C2935" t="s">
        <v>8717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8718</v>
      </c>
      <c r="B2936" t="s">
        <v>8719</v>
      </c>
      <c r="C2936" t="s">
        <v>8720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8721</v>
      </c>
      <c r="B2937" t="s">
        <v>8722</v>
      </c>
      <c r="C2937" t="s">
        <v>8723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8724</v>
      </c>
      <c r="B2938" t="s">
        <v>8725</v>
      </c>
      <c r="C2938" t="s">
        <v>8726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8727</v>
      </c>
      <c r="B2939" t="s">
        <v>8728</v>
      </c>
      <c r="C2939" t="s">
        <v>8729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8730</v>
      </c>
      <c r="B2940" t="s">
        <v>8731</v>
      </c>
      <c r="C2940" t="s">
        <v>8732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8733</v>
      </c>
      <c r="B2941" t="s">
        <v>8734</v>
      </c>
      <c r="C2941" t="s">
        <v>8735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8736</v>
      </c>
      <c r="B2942" t="s">
        <v>8737</v>
      </c>
      <c r="C2942" t="s">
        <v>8738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8739</v>
      </c>
      <c r="B2943" t="s">
        <v>8740</v>
      </c>
      <c r="C2943" t="s">
        <v>8741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8742</v>
      </c>
      <c r="B2944" t="s">
        <v>8743</v>
      </c>
      <c r="C2944" t="s">
        <v>8744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8745</v>
      </c>
      <c r="B2945" t="s">
        <v>8746</v>
      </c>
      <c r="C2945" t="s">
        <v>8747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8748</v>
      </c>
      <c r="B2946" t="s">
        <v>8749</v>
      </c>
      <c r="C2946" t="s">
        <v>8750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8751</v>
      </c>
      <c r="B2947" t="s">
        <v>8752</v>
      </c>
      <c r="C2947" t="s">
        <v>8753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8754</v>
      </c>
      <c r="B2948" t="s">
        <v>8755</v>
      </c>
      <c r="C2948" t="s">
        <v>8756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8757</v>
      </c>
      <c r="B2949" t="s">
        <v>8758</v>
      </c>
      <c r="C2949" t="s">
        <v>8759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8760</v>
      </c>
      <c r="B2950" t="s">
        <v>8761</v>
      </c>
      <c r="C2950" t="s">
        <v>8762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8763</v>
      </c>
      <c r="B2951" t="s">
        <v>8764</v>
      </c>
      <c r="C2951" t="s">
        <v>8765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8766</v>
      </c>
      <c r="B2952" t="s">
        <v>8767</v>
      </c>
      <c r="C2952" t="s">
        <v>8768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8769</v>
      </c>
      <c r="B2953" t="s">
        <v>8770</v>
      </c>
      <c r="C2953" t="s">
        <v>8771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8772</v>
      </c>
      <c r="B2954" t="s">
        <v>8773</v>
      </c>
      <c r="C2954" t="s">
        <v>8774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8775</v>
      </c>
      <c r="B2955" t="s">
        <v>8776</v>
      </c>
      <c r="C2955" t="s">
        <v>8777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8778</v>
      </c>
      <c r="B2956" t="s">
        <v>8779</v>
      </c>
      <c r="C2956" t="s">
        <v>8780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8781</v>
      </c>
      <c r="B2957" t="s">
        <v>8782</v>
      </c>
      <c r="C2957" t="s">
        <v>8783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8784</v>
      </c>
      <c r="B2958" t="s">
        <v>8785</v>
      </c>
      <c r="C2958" t="s">
        <v>8786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8787</v>
      </c>
      <c r="B2959" t="s">
        <v>8788</v>
      </c>
      <c r="C2959" t="s">
        <v>8789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8790</v>
      </c>
      <c r="B2960" t="s">
        <v>8791</v>
      </c>
      <c r="C2960" t="s">
        <v>8792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8793</v>
      </c>
      <c r="B2961" t="s">
        <v>8794</v>
      </c>
      <c r="C2961" t="s">
        <v>8795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8796</v>
      </c>
      <c r="B2962" t="s">
        <v>8797</v>
      </c>
      <c r="C2962" t="s">
        <v>8798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8799</v>
      </c>
      <c r="B2963" t="s">
        <v>8800</v>
      </c>
      <c r="C2963" t="s">
        <v>8801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8802</v>
      </c>
      <c r="B2964" t="s">
        <v>8803</v>
      </c>
      <c r="C2964" t="s">
        <v>8804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8805</v>
      </c>
      <c r="B2965" t="s">
        <v>8806</v>
      </c>
      <c r="C2965" t="s">
        <v>8807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8808</v>
      </c>
      <c r="B2966" t="s">
        <v>8809</v>
      </c>
      <c r="C2966" t="s">
        <v>8810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8811</v>
      </c>
      <c r="B2967" t="s">
        <v>8812</v>
      </c>
      <c r="C2967" t="s">
        <v>8813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8814</v>
      </c>
      <c r="B2968" t="s">
        <v>8815</v>
      </c>
      <c r="C2968" t="s">
        <v>8816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8817</v>
      </c>
      <c r="B2969" t="s">
        <v>8818</v>
      </c>
      <c r="C2969" t="s">
        <v>8819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8820</v>
      </c>
      <c r="B2970" t="s">
        <v>8821</v>
      </c>
      <c r="C2970" t="s">
        <v>8822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8823</v>
      </c>
      <c r="B2971" t="s">
        <v>8824</v>
      </c>
      <c r="C2971" t="s">
        <v>8825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8826</v>
      </c>
      <c r="B2972" t="s">
        <v>8827</v>
      </c>
      <c r="C2972" t="s">
        <v>8828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8829</v>
      </c>
      <c r="B2973" t="s">
        <v>8830</v>
      </c>
      <c r="C2973" t="s">
        <v>8831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8832</v>
      </c>
      <c r="B2974" t="s">
        <v>8833</v>
      </c>
      <c r="C2974" t="s">
        <v>8834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8835</v>
      </c>
      <c r="B2975" t="s">
        <v>8836</v>
      </c>
      <c r="C2975" t="s">
        <v>8837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8838</v>
      </c>
      <c r="B2976" t="s">
        <v>8839</v>
      </c>
      <c r="C2976" t="s">
        <v>8840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8841</v>
      </c>
      <c r="B2977" t="s">
        <v>8842</v>
      </c>
      <c r="C2977" t="s">
        <v>8843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8844</v>
      </c>
      <c r="B2978" t="s">
        <v>8845</v>
      </c>
      <c r="C2978" t="s">
        <v>8846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8847</v>
      </c>
      <c r="B2979" t="s">
        <v>8848</v>
      </c>
      <c r="C2979" t="s">
        <v>8849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8850</v>
      </c>
      <c r="B2980" t="s">
        <v>8851</v>
      </c>
      <c r="C2980" t="s">
        <v>8852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8853</v>
      </c>
      <c r="B2981" t="s">
        <v>8854</v>
      </c>
      <c r="C2981" t="s">
        <v>8855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8856</v>
      </c>
      <c r="B2982" t="s">
        <v>8857</v>
      </c>
      <c r="C2982" t="s">
        <v>8858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8859</v>
      </c>
      <c r="B2983" t="s">
        <v>8860</v>
      </c>
      <c r="C2983" t="s">
        <v>8861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8862</v>
      </c>
      <c r="B2984" t="s">
        <v>8863</v>
      </c>
      <c r="C2984" t="s">
        <v>8864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8865</v>
      </c>
      <c r="B2985" t="s">
        <v>8866</v>
      </c>
      <c r="C2985" t="s">
        <v>8867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8868</v>
      </c>
      <c r="B2986" t="s">
        <v>8869</v>
      </c>
      <c r="C2986" t="s">
        <v>8870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8871</v>
      </c>
      <c r="B2987" t="s">
        <v>8869</v>
      </c>
      <c r="C2987" t="s">
        <v>8872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8873</v>
      </c>
      <c r="B2988" t="s">
        <v>8869</v>
      </c>
      <c r="C2988" t="s">
        <v>8874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8875</v>
      </c>
      <c r="B2989" t="s">
        <v>8876</v>
      </c>
      <c r="C2989" t="s">
        <v>8877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8878</v>
      </c>
      <c r="B2990" t="s">
        <v>8879</v>
      </c>
      <c r="C2990" t="s">
        <v>8880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8881</v>
      </c>
      <c r="B2991" t="s">
        <v>8882</v>
      </c>
      <c r="C2991" t="s">
        <v>8883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8884</v>
      </c>
      <c r="B2992" t="s">
        <v>8885</v>
      </c>
      <c r="C2992" t="s">
        <v>8886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8887</v>
      </c>
      <c r="B2993" t="s">
        <v>8888</v>
      </c>
      <c r="C2993" t="s">
        <v>8889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8890</v>
      </c>
      <c r="B2994" t="s">
        <v>8891</v>
      </c>
      <c r="C2994" t="s">
        <v>8892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8893</v>
      </c>
      <c r="B2995" t="s">
        <v>8891</v>
      </c>
      <c r="C2995" t="s">
        <v>8894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8895</v>
      </c>
      <c r="B2996" t="s">
        <v>8896</v>
      </c>
      <c r="C2996" t="s">
        <v>8897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8898</v>
      </c>
      <c r="B2997" t="s">
        <v>8899</v>
      </c>
      <c r="C2997" t="s">
        <v>8900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8901</v>
      </c>
      <c r="B2998" t="s">
        <v>8902</v>
      </c>
      <c r="C2998" t="s">
        <v>8903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8904</v>
      </c>
      <c r="B2999" t="s">
        <v>8905</v>
      </c>
      <c r="C2999" t="s">
        <v>8906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8907</v>
      </c>
      <c r="B3000" t="s">
        <v>8908</v>
      </c>
      <c r="C3000" t="s">
        <v>8909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8910</v>
      </c>
      <c r="B3001" t="s">
        <v>8911</v>
      </c>
      <c r="C3001" t="s">
        <v>8912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8913</v>
      </c>
      <c r="B3002" t="s">
        <v>8914</v>
      </c>
      <c r="C3002" t="s">
        <v>8915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8916</v>
      </c>
      <c r="B3003" t="s">
        <v>8917</v>
      </c>
      <c r="C3003" t="s">
        <v>8918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8919</v>
      </c>
      <c r="B3004" t="s">
        <v>8920</v>
      </c>
      <c r="C3004" t="s">
        <v>8921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8922</v>
      </c>
      <c r="B3005" t="s">
        <v>8923</v>
      </c>
      <c r="C3005" t="s">
        <v>8924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8925</v>
      </c>
      <c r="B3006" t="s">
        <v>8926</v>
      </c>
      <c r="C3006" t="s">
        <v>8927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8928</v>
      </c>
      <c r="B3007" t="s">
        <v>8929</v>
      </c>
      <c r="C3007" t="s">
        <v>8930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8931</v>
      </c>
      <c r="B3008" t="s">
        <v>8932</v>
      </c>
      <c r="C3008" t="s">
        <v>8933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8934</v>
      </c>
      <c r="B3009" t="s">
        <v>8935</v>
      </c>
      <c r="C3009" t="s">
        <v>8936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8937</v>
      </c>
      <c r="B3010" t="s">
        <v>8938</v>
      </c>
      <c r="C3010" t="s">
        <v>8939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8940</v>
      </c>
      <c r="B3011" t="s">
        <v>8941</v>
      </c>
      <c r="C3011" t="s">
        <v>8942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8943</v>
      </c>
      <c r="B3012" t="s">
        <v>8944</v>
      </c>
      <c r="C3012" t="s">
        <v>8945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8946</v>
      </c>
      <c r="B3013" t="s">
        <v>8947</v>
      </c>
      <c r="C3013" t="s">
        <v>8948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8949</v>
      </c>
      <c r="B3014" t="s">
        <v>8950</v>
      </c>
      <c r="C3014" t="s">
        <v>8951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8952</v>
      </c>
      <c r="B3015" t="s">
        <v>8953</v>
      </c>
      <c r="C3015" t="s">
        <v>8954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8955</v>
      </c>
      <c r="B3016" t="s">
        <v>8956</v>
      </c>
      <c r="C3016" t="s">
        <v>8957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8958</v>
      </c>
      <c r="B3017" t="s">
        <v>8959</v>
      </c>
      <c r="C3017" t="s">
        <v>8960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8961</v>
      </c>
      <c r="B3018" t="s">
        <v>8962</v>
      </c>
      <c r="C3018" t="s">
        <v>8963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8964</v>
      </c>
      <c r="B3019" t="s">
        <v>8965</v>
      </c>
      <c r="C3019" t="s">
        <v>8966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8967</v>
      </c>
      <c r="B3020" t="s">
        <v>8968</v>
      </c>
      <c r="C3020" t="s">
        <v>8969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8970</v>
      </c>
      <c r="B3021" t="s">
        <v>8971</v>
      </c>
      <c r="C3021" t="s">
        <v>8972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8973</v>
      </c>
      <c r="B3022" t="s">
        <v>8974</v>
      </c>
      <c r="C3022" t="s">
        <v>8975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8976</v>
      </c>
      <c r="B3023" t="s">
        <v>8977</v>
      </c>
      <c r="C3023" t="s">
        <v>8978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8979</v>
      </c>
      <c r="B3024" t="s">
        <v>8980</v>
      </c>
      <c r="C3024" t="s">
        <v>8981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8982</v>
      </c>
      <c r="B3025" t="s">
        <v>8983</v>
      </c>
      <c r="C3025" t="s">
        <v>8984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8985</v>
      </c>
      <c r="B3026" t="s">
        <v>8986</v>
      </c>
      <c r="C3026" t="s">
        <v>8987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8988</v>
      </c>
      <c r="B3027" t="s">
        <v>8989</v>
      </c>
      <c r="C3027" t="s">
        <v>8990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8991</v>
      </c>
      <c r="B3028" t="s">
        <v>8992</v>
      </c>
      <c r="C3028" t="s">
        <v>8993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8994</v>
      </c>
      <c r="B3029" t="s">
        <v>8995</v>
      </c>
      <c r="C3029" t="s">
        <v>8996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8997</v>
      </c>
      <c r="B3030" t="s">
        <v>8998</v>
      </c>
      <c r="C3030" t="s">
        <v>8999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9000</v>
      </c>
      <c r="B3031" t="s">
        <v>9001</v>
      </c>
      <c r="C3031" t="s">
        <v>9002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9003</v>
      </c>
      <c r="B3032" t="s">
        <v>9004</v>
      </c>
      <c r="C3032" t="s">
        <v>9005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9006</v>
      </c>
      <c r="B3033" t="s">
        <v>9007</v>
      </c>
      <c r="C3033" t="s">
        <v>9008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9009</v>
      </c>
      <c r="B3034" t="s">
        <v>9010</v>
      </c>
      <c r="C3034" t="s">
        <v>9011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9012</v>
      </c>
      <c r="B3035" t="s">
        <v>9013</v>
      </c>
      <c r="C3035" t="s">
        <v>9014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9015</v>
      </c>
      <c r="B3036" t="s">
        <v>9016</v>
      </c>
      <c r="C3036" t="s">
        <v>9017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9018</v>
      </c>
      <c r="B3037" t="s">
        <v>9019</v>
      </c>
      <c r="C3037" t="s">
        <v>9020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9021</v>
      </c>
      <c r="B3038" t="s">
        <v>9022</v>
      </c>
      <c r="C3038" t="s">
        <v>9023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9024</v>
      </c>
      <c r="B3039" t="s">
        <v>9025</v>
      </c>
      <c r="C3039" t="s">
        <v>9026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9027</v>
      </c>
      <c r="B3040" t="s">
        <v>9028</v>
      </c>
      <c r="C3040" t="s">
        <v>9029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9030</v>
      </c>
      <c r="B3041" t="s">
        <v>9031</v>
      </c>
      <c r="C3041" t="s">
        <v>9032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9033</v>
      </c>
      <c r="B3042" t="s">
        <v>9034</v>
      </c>
      <c r="C3042" t="s">
        <v>9035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9036</v>
      </c>
      <c r="B3043" t="s">
        <v>9037</v>
      </c>
      <c r="C3043" t="s">
        <v>9038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9039</v>
      </c>
      <c r="B3044" t="s">
        <v>9040</v>
      </c>
      <c r="C3044" t="s">
        <v>9041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9042</v>
      </c>
      <c r="B3045" t="s">
        <v>9043</v>
      </c>
      <c r="C3045" t="s">
        <v>9044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9045</v>
      </c>
      <c r="B3046" t="s">
        <v>9046</v>
      </c>
      <c r="C3046" t="s">
        <v>9047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9048</v>
      </c>
      <c r="B3047" t="s">
        <v>9049</v>
      </c>
      <c r="C3047" t="s">
        <v>9050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9051</v>
      </c>
      <c r="B3048" t="s">
        <v>9052</v>
      </c>
      <c r="C3048" t="s">
        <v>9053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9054</v>
      </c>
      <c r="B3049" t="s">
        <v>9055</v>
      </c>
      <c r="C3049" t="s">
        <v>9056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9057</v>
      </c>
      <c r="B3050" t="s">
        <v>9058</v>
      </c>
      <c r="C3050" t="s">
        <v>9059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9060</v>
      </c>
      <c r="B3051" t="s">
        <v>9061</v>
      </c>
      <c r="C3051" t="s">
        <v>9062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9063</v>
      </c>
      <c r="B3052" t="s">
        <v>9064</v>
      </c>
      <c r="C3052" t="s">
        <v>9065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9066</v>
      </c>
      <c r="B3053" t="s">
        <v>9067</v>
      </c>
      <c r="C3053" t="s">
        <v>9068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9069</v>
      </c>
      <c r="B3054" t="s">
        <v>9070</v>
      </c>
      <c r="C3054" t="s">
        <v>9071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9072</v>
      </c>
      <c r="B3055" t="s">
        <v>9073</v>
      </c>
      <c r="C3055" t="s">
        <v>9074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9075</v>
      </c>
      <c r="B3056" t="s">
        <v>9076</v>
      </c>
      <c r="C3056" t="s">
        <v>9077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9078</v>
      </c>
      <c r="B3057" t="s">
        <v>9079</v>
      </c>
      <c r="C3057" t="s">
        <v>9080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9081</v>
      </c>
      <c r="B3058" t="s">
        <v>9082</v>
      </c>
      <c r="C3058" t="s">
        <v>9083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9084</v>
      </c>
      <c r="B3059" t="s">
        <v>9085</v>
      </c>
      <c r="C3059" t="s">
        <v>9086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9087</v>
      </c>
      <c r="B3060" t="s">
        <v>9088</v>
      </c>
      <c r="C3060" t="s">
        <v>9089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9090</v>
      </c>
      <c r="B3061" t="s">
        <v>9091</v>
      </c>
      <c r="C3061" t="s">
        <v>9092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9093</v>
      </c>
      <c r="B3062" t="s">
        <v>9094</v>
      </c>
      <c r="C3062" t="s">
        <v>9095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9096</v>
      </c>
      <c r="B3063" t="s">
        <v>9097</v>
      </c>
      <c r="C3063" t="s">
        <v>9098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9099</v>
      </c>
      <c r="B3064" t="s">
        <v>9100</v>
      </c>
      <c r="C3064" t="s">
        <v>9101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9102</v>
      </c>
      <c r="B3065" t="s">
        <v>9103</v>
      </c>
      <c r="C3065" t="s">
        <v>9104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9105</v>
      </c>
      <c r="B3066" t="s">
        <v>9106</v>
      </c>
      <c r="C3066" t="s">
        <v>9107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9108</v>
      </c>
      <c r="B3067" t="s">
        <v>9109</v>
      </c>
      <c r="C3067" t="s">
        <v>9110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9111</v>
      </c>
      <c r="B3068" t="s">
        <v>9112</v>
      </c>
      <c r="C3068" t="s">
        <v>9113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9114</v>
      </c>
      <c r="B3069" t="s">
        <v>9115</v>
      </c>
      <c r="C3069" t="s">
        <v>9116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9117</v>
      </c>
      <c r="B3070" t="s">
        <v>9118</v>
      </c>
      <c r="C3070" t="s">
        <v>9119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9120</v>
      </c>
      <c r="B3071" t="s">
        <v>9121</v>
      </c>
      <c r="C3071" t="s">
        <v>9122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9123</v>
      </c>
      <c r="B3072" t="s">
        <v>9124</v>
      </c>
      <c r="C3072" t="s">
        <v>9125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9126</v>
      </c>
      <c r="B3073" t="s">
        <v>9127</v>
      </c>
      <c r="C3073" t="s">
        <v>9128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9129</v>
      </c>
      <c r="B3074" t="s">
        <v>9130</v>
      </c>
      <c r="C3074" t="s">
        <v>9131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9132</v>
      </c>
      <c r="B3075" t="s">
        <v>9133</v>
      </c>
      <c r="C3075" t="s">
        <v>9134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9135</v>
      </c>
      <c r="B3076" t="s">
        <v>9136</v>
      </c>
      <c r="C3076" t="s">
        <v>9137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9138</v>
      </c>
      <c r="B3077" t="s">
        <v>9139</v>
      </c>
      <c r="C3077" t="s">
        <v>9140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9141</v>
      </c>
      <c r="B3078" t="s">
        <v>9142</v>
      </c>
      <c r="C3078" t="s">
        <v>9143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9144</v>
      </c>
      <c r="B3079" t="s">
        <v>9145</v>
      </c>
      <c r="C3079" t="s">
        <v>9146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9147</v>
      </c>
      <c r="B3080" t="s">
        <v>9148</v>
      </c>
      <c r="C3080" t="s">
        <v>9149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9150</v>
      </c>
      <c r="B3081" t="s">
        <v>9151</v>
      </c>
      <c r="C3081" t="s">
        <v>9152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9153</v>
      </c>
      <c r="B3082" t="s">
        <v>9154</v>
      </c>
      <c r="C3082" t="s">
        <v>9155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9156</v>
      </c>
      <c r="B3083" t="s">
        <v>9154</v>
      </c>
      <c r="C3083" t="s">
        <v>9157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9158</v>
      </c>
      <c r="B3084" t="s">
        <v>9159</v>
      </c>
      <c r="C3084" t="s">
        <v>9160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9161</v>
      </c>
      <c r="B3085" t="s">
        <v>9162</v>
      </c>
      <c r="C3085" t="s">
        <v>9163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9164</v>
      </c>
      <c r="B3086" t="s">
        <v>9165</v>
      </c>
      <c r="C3086" t="s">
        <v>9166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9167</v>
      </c>
      <c r="B3087" t="s">
        <v>9168</v>
      </c>
      <c r="C3087" t="s">
        <v>9169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9170</v>
      </c>
      <c r="B3088" t="s">
        <v>9168</v>
      </c>
      <c r="C3088" t="s">
        <v>9171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9172</v>
      </c>
      <c r="B3089" t="s">
        <v>9173</v>
      </c>
      <c r="C3089" t="s">
        <v>9174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9175</v>
      </c>
      <c r="B3090" t="s">
        <v>9176</v>
      </c>
      <c r="C3090" t="s">
        <v>9177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9178</v>
      </c>
      <c r="B3091" t="s">
        <v>9179</v>
      </c>
      <c r="C3091" t="s">
        <v>9180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9181</v>
      </c>
      <c r="B3092" t="s">
        <v>9182</v>
      </c>
      <c r="C3092" t="s">
        <v>9183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9184</v>
      </c>
      <c r="B3093" t="s">
        <v>9185</v>
      </c>
      <c r="C3093" t="s">
        <v>9186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9187</v>
      </c>
      <c r="B3094" t="s">
        <v>9188</v>
      </c>
      <c r="C3094" t="s">
        <v>9189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9190</v>
      </c>
      <c r="B3095" t="s">
        <v>9191</v>
      </c>
      <c r="C3095" t="s">
        <v>9192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9193</v>
      </c>
      <c r="B3096" t="s">
        <v>9194</v>
      </c>
      <c r="C3096" t="s">
        <v>9195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9196</v>
      </c>
      <c r="B3097" t="s">
        <v>9197</v>
      </c>
      <c r="C3097" t="s">
        <v>9198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9199</v>
      </c>
      <c r="B3098" t="s">
        <v>9200</v>
      </c>
      <c r="C3098" t="s">
        <v>9201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9202</v>
      </c>
      <c r="B3099" t="s">
        <v>9203</v>
      </c>
      <c r="C3099" t="s">
        <v>9204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9205</v>
      </c>
      <c r="B3100" t="s">
        <v>9206</v>
      </c>
      <c r="C3100" t="s">
        <v>9207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9208</v>
      </c>
      <c r="B3101" t="s">
        <v>9209</v>
      </c>
      <c r="C3101" t="s">
        <v>9210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9211</v>
      </c>
      <c r="B3102" t="s">
        <v>9212</v>
      </c>
      <c r="C3102" t="s">
        <v>9213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9214</v>
      </c>
      <c r="B3103" t="s">
        <v>9215</v>
      </c>
      <c r="C3103" t="s">
        <v>9216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9217</v>
      </c>
      <c r="B3104" t="s">
        <v>9218</v>
      </c>
      <c r="C3104" t="s">
        <v>9219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9220</v>
      </c>
      <c r="B3105" t="s">
        <v>9221</v>
      </c>
      <c r="C3105" t="s">
        <v>9222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9223</v>
      </c>
      <c r="B3106" t="s">
        <v>9224</v>
      </c>
      <c r="C3106" t="s">
        <v>9225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9226</v>
      </c>
      <c r="B3107" t="s">
        <v>9227</v>
      </c>
      <c r="C3107" t="s">
        <v>9228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9229</v>
      </c>
      <c r="B3108" t="s">
        <v>9230</v>
      </c>
      <c r="C3108" t="s">
        <v>9231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9232</v>
      </c>
      <c r="B3109" t="s">
        <v>9233</v>
      </c>
      <c r="C3109" t="s">
        <v>9234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9235</v>
      </c>
      <c r="B3110" t="s">
        <v>9233</v>
      </c>
      <c r="C3110" t="s">
        <v>9236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9237</v>
      </c>
      <c r="B3111" t="s">
        <v>9238</v>
      </c>
      <c r="C3111" t="s">
        <v>9239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9240</v>
      </c>
      <c r="B3112" t="s">
        <v>9241</v>
      </c>
      <c r="C3112" t="s">
        <v>9242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9243</v>
      </c>
      <c r="B3113" t="s">
        <v>9244</v>
      </c>
      <c r="C3113" t="s">
        <v>9245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9246</v>
      </c>
      <c r="B3114" t="s">
        <v>9247</v>
      </c>
      <c r="C3114" t="s">
        <v>9248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9249</v>
      </c>
      <c r="B3115" t="s">
        <v>9250</v>
      </c>
      <c r="C3115" t="s">
        <v>9251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9252</v>
      </c>
      <c r="B3116" t="s">
        <v>9253</v>
      </c>
      <c r="C3116" t="s">
        <v>9254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9255</v>
      </c>
      <c r="B3117" t="s">
        <v>9256</v>
      </c>
      <c r="C3117" t="s">
        <v>9257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9258</v>
      </c>
      <c r="B3118" t="s">
        <v>9259</v>
      </c>
      <c r="C3118" t="s">
        <v>9260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9261</v>
      </c>
      <c r="B3119" t="s">
        <v>9262</v>
      </c>
      <c r="C3119" t="s">
        <v>9263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9264</v>
      </c>
      <c r="B3120" t="s">
        <v>9265</v>
      </c>
      <c r="C3120" t="s">
        <v>9266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9267</v>
      </c>
      <c r="B3121" t="s">
        <v>9268</v>
      </c>
      <c r="C3121" t="s">
        <v>9269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9270</v>
      </c>
      <c r="B3122" t="s">
        <v>9271</v>
      </c>
      <c r="C3122" t="s">
        <v>9272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9273</v>
      </c>
      <c r="B3123" t="s">
        <v>9274</v>
      </c>
      <c r="C3123" t="s">
        <v>9275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9276</v>
      </c>
      <c r="B3124" t="s">
        <v>9274</v>
      </c>
      <c r="C3124" t="s">
        <v>9277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9278</v>
      </c>
      <c r="B3125" t="s">
        <v>9279</v>
      </c>
      <c r="C3125" t="s">
        <v>9280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9281</v>
      </c>
      <c r="B3126" t="s">
        <v>9282</v>
      </c>
      <c r="C3126" t="s">
        <v>9283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9284</v>
      </c>
      <c r="B3127" t="s">
        <v>9285</v>
      </c>
      <c r="C3127" t="s">
        <v>9286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9287</v>
      </c>
      <c r="B3128" t="s">
        <v>9288</v>
      </c>
      <c r="C3128" t="s">
        <v>9289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9290</v>
      </c>
      <c r="B3129" t="s">
        <v>9291</v>
      </c>
      <c r="C3129" t="s">
        <v>9292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9293</v>
      </c>
      <c r="B3130" t="s">
        <v>9294</v>
      </c>
      <c r="C3130" t="s">
        <v>9295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9296</v>
      </c>
      <c r="B3131" t="s">
        <v>9297</v>
      </c>
      <c r="C3131" t="s">
        <v>9298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9299</v>
      </c>
      <c r="B3132" t="s">
        <v>9300</v>
      </c>
      <c r="C3132" t="s">
        <v>9301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9302</v>
      </c>
      <c r="B3133" t="s">
        <v>9303</v>
      </c>
      <c r="C3133" t="s">
        <v>9304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9302</v>
      </c>
      <c r="B3134" t="s">
        <v>9303</v>
      </c>
      <c r="C3134" t="s">
        <v>9305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9306</v>
      </c>
      <c r="B3135" t="s">
        <v>9307</v>
      </c>
      <c r="C3135" t="s">
        <v>9308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9309</v>
      </c>
      <c r="B3136" t="s">
        <v>9310</v>
      </c>
      <c r="C3136" t="s">
        <v>9311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9312</v>
      </c>
      <c r="B3137" t="s">
        <v>9313</v>
      </c>
      <c r="C3137" t="s">
        <v>9314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9315</v>
      </c>
      <c r="B3138" t="s">
        <v>9316</v>
      </c>
      <c r="C3138" t="s">
        <v>9317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9318</v>
      </c>
      <c r="B3139" t="s">
        <v>9319</v>
      </c>
      <c r="C3139" t="s">
        <v>9320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9321</v>
      </c>
      <c r="B3140" t="s">
        <v>9322</v>
      </c>
      <c r="C3140" t="s">
        <v>9323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9324</v>
      </c>
      <c r="B3141" t="s">
        <v>9325</v>
      </c>
      <c r="C3141" t="s">
        <v>9326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9327</v>
      </c>
      <c r="B3142" t="s">
        <v>9328</v>
      </c>
      <c r="C3142" t="s">
        <v>9329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9330</v>
      </c>
      <c r="B3143" t="s">
        <v>9331</v>
      </c>
      <c r="C3143" t="s">
        <v>9332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9333</v>
      </c>
      <c r="B3144" t="s">
        <v>9334</v>
      </c>
      <c r="C3144" t="s">
        <v>9335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9336</v>
      </c>
      <c r="B3145" t="s">
        <v>9337</v>
      </c>
      <c r="C3145" t="s">
        <v>9338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9339</v>
      </c>
      <c r="B3146" t="s">
        <v>9340</v>
      </c>
      <c r="C3146" t="s">
        <v>9341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9342</v>
      </c>
      <c r="B3147" t="s">
        <v>9343</v>
      </c>
      <c r="C3147" t="s">
        <v>9344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9345</v>
      </c>
      <c r="B3148" t="s">
        <v>9346</v>
      </c>
      <c r="C3148" t="s">
        <v>9347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9348</v>
      </c>
      <c r="B3149" t="s">
        <v>9349</v>
      </c>
      <c r="C3149" t="s">
        <v>9350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9351</v>
      </c>
      <c r="B3150" t="s">
        <v>9352</v>
      </c>
      <c r="C3150" t="s">
        <v>9353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9354</v>
      </c>
      <c r="B3151" t="s">
        <v>9355</v>
      </c>
      <c r="C3151" t="s">
        <v>9356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9357</v>
      </c>
      <c r="B3152" t="s">
        <v>9358</v>
      </c>
      <c r="C3152" t="s">
        <v>9359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9360</v>
      </c>
      <c r="B3153" t="s">
        <v>9361</v>
      </c>
      <c r="C3153" t="s">
        <v>9362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9363</v>
      </c>
      <c r="B3154" t="s">
        <v>9364</v>
      </c>
      <c r="C3154" t="s">
        <v>9365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9366</v>
      </c>
      <c r="B3155" t="s">
        <v>9367</v>
      </c>
      <c r="C3155" t="s">
        <v>9368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9369</v>
      </c>
      <c r="B3156" t="s">
        <v>9370</v>
      </c>
      <c r="C3156" t="s">
        <v>9371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9372</v>
      </c>
      <c r="B3157" t="s">
        <v>9373</v>
      </c>
      <c r="C3157" t="s">
        <v>9374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9375</v>
      </c>
      <c r="B3158" t="s">
        <v>9376</v>
      </c>
      <c r="C3158" t="s">
        <v>9377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9378</v>
      </c>
      <c r="B3159" t="s">
        <v>9379</v>
      </c>
      <c r="C3159" t="s">
        <v>9380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9381</v>
      </c>
      <c r="B3160" t="s">
        <v>9382</v>
      </c>
      <c r="C3160" t="s">
        <v>9383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9384</v>
      </c>
      <c r="B3161" t="s">
        <v>9385</v>
      </c>
      <c r="C3161" t="s">
        <v>9386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9387</v>
      </c>
      <c r="B3162" t="s">
        <v>9388</v>
      </c>
      <c r="C3162" t="s">
        <v>9389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9390</v>
      </c>
      <c r="B3163" t="s">
        <v>9391</v>
      </c>
      <c r="C3163" t="s">
        <v>9392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9393</v>
      </c>
      <c r="B3164" t="s">
        <v>9394</v>
      </c>
      <c r="C3164" t="s">
        <v>9395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9396</v>
      </c>
      <c r="B3165" t="s">
        <v>9397</v>
      </c>
      <c r="C3165" t="s">
        <v>9398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9399</v>
      </c>
      <c r="B3166" t="s">
        <v>9400</v>
      </c>
      <c r="C3166" t="s">
        <v>9401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9402</v>
      </c>
      <c r="B3167" t="s">
        <v>9403</v>
      </c>
      <c r="C3167" t="s">
        <v>9404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9405</v>
      </c>
      <c r="B3168" t="s">
        <v>9406</v>
      </c>
      <c r="C3168" t="s">
        <v>9407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9408</v>
      </c>
      <c r="B3169" t="s">
        <v>9409</v>
      </c>
      <c r="C3169" t="s">
        <v>9410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9411</v>
      </c>
      <c r="B3170" t="s">
        <v>9409</v>
      </c>
      <c r="C3170" t="s">
        <v>9412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9413</v>
      </c>
      <c r="B3171" t="s">
        <v>9414</v>
      </c>
      <c r="C3171" t="s">
        <v>9415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9416</v>
      </c>
      <c r="B3172" t="s">
        <v>9417</v>
      </c>
      <c r="C3172" t="s">
        <v>9418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9419</v>
      </c>
      <c r="B3173" t="s">
        <v>9420</v>
      </c>
      <c r="C3173" t="s">
        <v>9421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9422</v>
      </c>
      <c r="B3174" t="s">
        <v>9423</v>
      </c>
      <c r="C3174" t="s">
        <v>9424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9425</v>
      </c>
      <c r="B3175" t="s">
        <v>9426</v>
      </c>
      <c r="C3175" t="s">
        <v>9427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9428</v>
      </c>
      <c r="B3176" t="s">
        <v>9429</v>
      </c>
      <c r="C3176" t="s">
        <v>9430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9431</v>
      </c>
      <c r="B3177" t="s">
        <v>9432</v>
      </c>
      <c r="C3177" t="s">
        <v>9433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9434</v>
      </c>
      <c r="B3178" t="s">
        <v>9435</v>
      </c>
      <c r="C3178" t="s">
        <v>9436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9437</v>
      </c>
      <c r="B3179" t="s">
        <v>9438</v>
      </c>
      <c r="C3179" t="s">
        <v>9439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9440</v>
      </c>
      <c r="B3180" t="s">
        <v>9441</v>
      </c>
      <c r="C3180" t="s">
        <v>9442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9443</v>
      </c>
      <c r="B3181" t="s">
        <v>9444</v>
      </c>
      <c r="C3181" t="s">
        <v>9445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9446</v>
      </c>
      <c r="B3182" t="s">
        <v>9447</v>
      </c>
      <c r="C3182" t="s">
        <v>9448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9449</v>
      </c>
      <c r="B3183" t="s">
        <v>9450</v>
      </c>
      <c r="C3183" t="s">
        <v>9451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9452</v>
      </c>
      <c r="B3184" t="s">
        <v>9453</v>
      </c>
      <c r="C3184" t="s">
        <v>9454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9455</v>
      </c>
      <c r="B3185" t="s">
        <v>9456</v>
      </c>
      <c r="C3185" t="s">
        <v>9457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9458</v>
      </c>
      <c r="B3186" t="s">
        <v>9459</v>
      </c>
      <c r="C3186" t="s">
        <v>9460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9461</v>
      </c>
      <c r="B3187" t="s">
        <v>9462</v>
      </c>
      <c r="C3187" t="s">
        <v>9463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9464</v>
      </c>
      <c r="B3188" t="s">
        <v>9465</v>
      </c>
      <c r="C3188" t="s">
        <v>9466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9467</v>
      </c>
      <c r="B3189" t="s">
        <v>9468</v>
      </c>
      <c r="C3189" t="s">
        <v>9469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9470</v>
      </c>
      <c r="B3190" t="s">
        <v>9471</v>
      </c>
      <c r="C3190" t="s">
        <v>9472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9473</v>
      </c>
      <c r="B3191" t="s">
        <v>9474</v>
      </c>
      <c r="C3191" t="s">
        <v>9475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9476</v>
      </c>
      <c r="B3192" t="s">
        <v>9477</v>
      </c>
      <c r="C3192" t="s">
        <v>9478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9479</v>
      </c>
      <c r="B3193" t="s">
        <v>9480</v>
      </c>
      <c r="C3193" t="s">
        <v>9481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9482</v>
      </c>
      <c r="B3194" t="s">
        <v>9483</v>
      </c>
      <c r="C3194" t="s">
        <v>9484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9485</v>
      </c>
      <c r="B3195" t="s">
        <v>9486</v>
      </c>
      <c r="C3195" t="s">
        <v>9487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9488</v>
      </c>
      <c r="B3196" t="s">
        <v>9489</v>
      </c>
      <c r="C3196" t="s">
        <v>9490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9491</v>
      </c>
      <c r="B3197" t="s">
        <v>9492</v>
      </c>
      <c r="C3197" t="s">
        <v>9493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9494</v>
      </c>
      <c r="B3198" t="s">
        <v>9495</v>
      </c>
      <c r="C3198" t="s">
        <v>9496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9497</v>
      </c>
      <c r="B3199" t="s">
        <v>9498</v>
      </c>
      <c r="C3199" t="s">
        <v>9499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9500</v>
      </c>
      <c r="B3200" t="s">
        <v>9501</v>
      </c>
      <c r="C3200" t="s">
        <v>9502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9503</v>
      </c>
      <c r="B3201" t="s">
        <v>9501</v>
      </c>
      <c r="C3201" t="s">
        <v>9504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9505</v>
      </c>
      <c r="B3202" t="s">
        <v>9506</v>
      </c>
      <c r="C3202" t="s">
        <v>9507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9508</v>
      </c>
      <c r="B3203" t="s">
        <v>9509</v>
      </c>
      <c r="C3203" t="s">
        <v>9510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9511</v>
      </c>
      <c r="B3204" t="s">
        <v>9512</v>
      </c>
      <c r="C3204" t="s">
        <v>9513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9514</v>
      </c>
      <c r="B3205" t="s">
        <v>9515</v>
      </c>
      <c r="C3205" t="s">
        <v>9516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9517</v>
      </c>
      <c r="B3206" t="s">
        <v>9518</v>
      </c>
      <c r="C3206" t="s">
        <v>9519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9520</v>
      </c>
      <c r="B3207" t="s">
        <v>9521</v>
      </c>
      <c r="C3207" t="s">
        <v>9522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9523</v>
      </c>
      <c r="B3208" t="s">
        <v>9521</v>
      </c>
      <c r="C3208" t="s">
        <v>9524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9525</v>
      </c>
      <c r="B3209" t="s">
        <v>9526</v>
      </c>
      <c r="C3209" t="s">
        <v>9527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9528</v>
      </c>
      <c r="B3210" t="s">
        <v>9529</v>
      </c>
      <c r="C3210" t="s">
        <v>9530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9531</v>
      </c>
      <c r="B3211" t="s">
        <v>9532</v>
      </c>
      <c r="C3211" t="s">
        <v>9533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9534</v>
      </c>
      <c r="B3212" t="s">
        <v>9535</v>
      </c>
      <c r="C3212" t="s">
        <v>9536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9537</v>
      </c>
      <c r="B3213" t="s">
        <v>9538</v>
      </c>
      <c r="C3213" t="s">
        <v>9539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9540</v>
      </c>
      <c r="B3214" t="s">
        <v>9541</v>
      </c>
      <c r="C3214" t="s">
        <v>9542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9543</v>
      </c>
      <c r="B3215" t="s">
        <v>9544</v>
      </c>
      <c r="C3215" t="s">
        <v>9545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9546</v>
      </c>
      <c r="B3216" t="s">
        <v>9547</v>
      </c>
      <c r="C3216" t="s">
        <v>9548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9549</v>
      </c>
      <c r="B3217" t="s">
        <v>9550</v>
      </c>
      <c r="C3217" t="s">
        <v>9551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9552</v>
      </c>
      <c r="B3218" t="s">
        <v>9553</v>
      </c>
      <c r="C3218" t="s">
        <v>9554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9555</v>
      </c>
      <c r="B3219" t="s">
        <v>9556</v>
      </c>
      <c r="C3219" t="s">
        <v>9557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9558</v>
      </c>
      <c r="B3220" t="s">
        <v>9559</v>
      </c>
      <c r="C3220" t="s">
        <v>9560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9561</v>
      </c>
      <c r="B3221" t="s">
        <v>9562</v>
      </c>
      <c r="C3221" t="s">
        <v>9563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9564</v>
      </c>
      <c r="B3222" t="s">
        <v>9565</v>
      </c>
      <c r="C3222" t="s">
        <v>9566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9567</v>
      </c>
      <c r="B3223" t="s">
        <v>9568</v>
      </c>
      <c r="C3223" t="s">
        <v>9569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9570</v>
      </c>
      <c r="B3224" t="s">
        <v>9571</v>
      </c>
      <c r="C3224" t="s">
        <v>9572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9573</v>
      </c>
      <c r="B3225" t="s">
        <v>9574</v>
      </c>
      <c r="C3225" t="s">
        <v>9575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9576</v>
      </c>
      <c r="B3226" t="s">
        <v>9577</v>
      </c>
      <c r="C3226" t="s">
        <v>9578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9579</v>
      </c>
      <c r="B3227" t="s">
        <v>9580</v>
      </c>
      <c r="C3227" t="s">
        <v>9581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9582</v>
      </c>
      <c r="B3228" t="s">
        <v>9583</v>
      </c>
      <c r="C3228" t="s">
        <v>9584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9585</v>
      </c>
      <c r="B3229" t="s">
        <v>9586</v>
      </c>
      <c r="C3229" t="s">
        <v>9587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9588</v>
      </c>
      <c r="B3230" t="s">
        <v>9589</v>
      </c>
      <c r="C3230" t="s">
        <v>9590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9591</v>
      </c>
      <c r="B3231" t="s">
        <v>9592</v>
      </c>
      <c r="C3231" t="s">
        <v>9593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9594</v>
      </c>
      <c r="B3232" t="s">
        <v>9595</v>
      </c>
      <c r="C3232" t="s">
        <v>9596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9597</v>
      </c>
      <c r="B3233" t="s">
        <v>9598</v>
      </c>
      <c r="C3233" t="s">
        <v>9599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9600</v>
      </c>
      <c r="B3234" t="s">
        <v>9601</v>
      </c>
      <c r="C3234" t="s">
        <v>9602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9603</v>
      </c>
      <c r="B3235" t="s">
        <v>9604</v>
      </c>
      <c r="C3235" t="s">
        <v>9605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9606</v>
      </c>
      <c r="B3236" t="s">
        <v>9607</v>
      </c>
      <c r="C3236" t="s">
        <v>9608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9609</v>
      </c>
      <c r="B3237" t="s">
        <v>9610</v>
      </c>
      <c r="C3237" t="s">
        <v>9611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9612</v>
      </c>
      <c r="B3238" t="s">
        <v>9613</v>
      </c>
      <c r="C3238" t="s">
        <v>9614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9615</v>
      </c>
      <c r="B3239" t="s">
        <v>9616</v>
      </c>
      <c r="C3239" t="s">
        <v>9617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9618</v>
      </c>
      <c r="B3240" t="s">
        <v>9619</v>
      </c>
      <c r="C3240" t="s">
        <v>9620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9621</v>
      </c>
      <c r="B3241" t="s">
        <v>9622</v>
      </c>
      <c r="C3241" t="s">
        <v>9623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9624</v>
      </c>
      <c r="B3242" t="s">
        <v>9625</v>
      </c>
      <c r="C3242" t="s">
        <v>9626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9627</v>
      </c>
      <c r="B3243" t="s">
        <v>9628</v>
      </c>
      <c r="C3243" t="s">
        <v>9629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9630</v>
      </c>
      <c r="B3244" t="s">
        <v>9631</v>
      </c>
      <c r="C3244" t="s">
        <v>9632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9633</v>
      </c>
      <c r="B3245" t="s">
        <v>9634</v>
      </c>
      <c r="C3245" t="s">
        <v>9635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9636</v>
      </c>
      <c r="B3246" t="s">
        <v>9637</v>
      </c>
      <c r="C3246" t="s">
        <v>9638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9639</v>
      </c>
      <c r="B3247" t="s">
        <v>9640</v>
      </c>
      <c r="C3247" t="s">
        <v>9641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9642</v>
      </c>
      <c r="B3248" t="s">
        <v>9643</v>
      </c>
      <c r="C3248" t="s">
        <v>9644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9645</v>
      </c>
      <c r="B3249" t="s">
        <v>9646</v>
      </c>
      <c r="C3249" t="s">
        <v>9647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9648</v>
      </c>
      <c r="B3250" t="s">
        <v>9649</v>
      </c>
      <c r="C3250" t="s">
        <v>9650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9651</v>
      </c>
      <c r="B3251" t="s">
        <v>9652</v>
      </c>
      <c r="C3251" t="s">
        <v>9653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9654</v>
      </c>
      <c r="B3252" t="s">
        <v>9655</v>
      </c>
      <c r="C3252" t="s">
        <v>9656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9657</v>
      </c>
      <c r="B3253" t="s">
        <v>9658</v>
      </c>
      <c r="C3253" t="s">
        <v>9659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9660</v>
      </c>
      <c r="B3254" t="s">
        <v>9661</v>
      </c>
      <c r="C3254" t="s">
        <v>9662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9663</v>
      </c>
      <c r="B3255" t="s">
        <v>9664</v>
      </c>
      <c r="C3255" t="s">
        <v>9665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9666</v>
      </c>
      <c r="B3256" t="s">
        <v>9667</v>
      </c>
      <c r="C3256" t="s">
        <v>9668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9669</v>
      </c>
      <c r="B3257" t="s">
        <v>9670</v>
      </c>
      <c r="C3257" t="s">
        <v>9671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9672</v>
      </c>
      <c r="B3258" t="s">
        <v>9673</v>
      </c>
      <c r="C3258" t="s">
        <v>9674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9675</v>
      </c>
      <c r="B3259" t="s">
        <v>9676</v>
      </c>
      <c r="C3259" t="s">
        <v>9677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9678</v>
      </c>
      <c r="B3260" t="s">
        <v>9679</v>
      </c>
      <c r="C3260" t="s">
        <v>9680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9681</v>
      </c>
      <c r="B3261" t="s">
        <v>9682</v>
      </c>
      <c r="C3261" t="s">
        <v>9683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9684</v>
      </c>
      <c r="B3262" t="s">
        <v>9685</v>
      </c>
      <c r="C3262" t="s">
        <v>9686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9687</v>
      </c>
      <c r="B3263" t="s">
        <v>9688</v>
      </c>
      <c r="C3263" t="s">
        <v>9689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9690</v>
      </c>
      <c r="B3264" t="s">
        <v>9691</v>
      </c>
      <c r="C3264" t="s">
        <v>9692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9693</v>
      </c>
      <c r="B3265" t="s">
        <v>9694</v>
      </c>
      <c r="C3265" t="s">
        <v>9695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9696</v>
      </c>
      <c r="B3266" t="s">
        <v>9697</v>
      </c>
      <c r="C3266" t="s">
        <v>9698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9699</v>
      </c>
      <c r="B3267" t="s">
        <v>9697</v>
      </c>
      <c r="C3267" t="s">
        <v>9700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9701</v>
      </c>
      <c r="B3268" t="s">
        <v>9702</v>
      </c>
      <c r="C3268" t="s">
        <v>9703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9704</v>
      </c>
      <c r="B3269" t="s">
        <v>9705</v>
      </c>
      <c r="C3269" t="s">
        <v>9706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9707</v>
      </c>
      <c r="B3270" t="s">
        <v>9708</v>
      </c>
      <c r="C3270" t="s">
        <v>9709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9710</v>
      </c>
      <c r="B3271" t="s">
        <v>9711</v>
      </c>
      <c r="C3271" t="s">
        <v>9712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9713</v>
      </c>
      <c r="B3272" t="s">
        <v>9714</v>
      </c>
      <c r="C3272" t="s">
        <v>9715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9716</v>
      </c>
      <c r="B3273" t="s">
        <v>9717</v>
      </c>
      <c r="C3273" t="s">
        <v>9718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9719</v>
      </c>
      <c r="B3274" t="s">
        <v>9720</v>
      </c>
      <c r="C3274" t="s">
        <v>9721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9722</v>
      </c>
      <c r="B3275" t="s">
        <v>9723</v>
      </c>
      <c r="C3275" t="s">
        <v>9724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9725</v>
      </c>
      <c r="B3276" t="s">
        <v>9726</v>
      </c>
      <c r="C3276" t="s">
        <v>9727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9728</v>
      </c>
      <c r="B3277" t="s">
        <v>9729</v>
      </c>
      <c r="C3277" t="s">
        <v>9730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9731</v>
      </c>
      <c r="B3278" t="s">
        <v>9732</v>
      </c>
      <c r="C3278" t="s">
        <v>9733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9734</v>
      </c>
      <c r="B3279" t="s">
        <v>9735</v>
      </c>
      <c r="C3279" t="s">
        <v>9736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9737</v>
      </c>
      <c r="B3280" t="s">
        <v>9738</v>
      </c>
      <c r="C3280" t="s">
        <v>9739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9740</v>
      </c>
      <c r="B3281" t="s">
        <v>9741</v>
      </c>
      <c r="C3281" t="s">
        <v>9742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9743</v>
      </c>
      <c r="B3282" t="s">
        <v>9744</v>
      </c>
      <c r="C3282" t="s">
        <v>9745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9746</v>
      </c>
      <c r="B3283" t="s">
        <v>9747</v>
      </c>
      <c r="C3283" t="s">
        <v>9748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9749</v>
      </c>
      <c r="B3284" t="s">
        <v>9750</v>
      </c>
      <c r="C3284" t="s">
        <v>9751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9752</v>
      </c>
      <c r="B3285" t="s">
        <v>9750</v>
      </c>
      <c r="C3285" t="s">
        <v>9753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9754</v>
      </c>
      <c r="B3286" t="s">
        <v>9755</v>
      </c>
      <c r="C3286" t="s">
        <v>9756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9757</v>
      </c>
      <c r="B3287" t="s">
        <v>9758</v>
      </c>
      <c r="C3287" t="s">
        <v>9759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9760</v>
      </c>
      <c r="B3288" t="s">
        <v>9761</v>
      </c>
      <c r="C3288" t="s">
        <v>9762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9763</v>
      </c>
      <c r="B3289" t="s">
        <v>9764</v>
      </c>
      <c r="C3289" t="s">
        <v>9765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9766</v>
      </c>
      <c r="B3290" t="s">
        <v>9767</v>
      </c>
      <c r="C3290" t="s">
        <v>9768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9769</v>
      </c>
      <c r="B3291" t="s">
        <v>9770</v>
      </c>
      <c r="C3291" t="s">
        <v>9771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9772</v>
      </c>
      <c r="B3292" t="s">
        <v>9773</v>
      </c>
      <c r="C3292" t="s">
        <v>9774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9775</v>
      </c>
      <c r="B3293" t="s">
        <v>9776</v>
      </c>
      <c r="C3293" t="s">
        <v>9777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9778</v>
      </c>
      <c r="B3294" t="s">
        <v>9779</v>
      </c>
      <c r="C3294" t="s">
        <v>9780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9781</v>
      </c>
      <c r="B3295" t="s">
        <v>9782</v>
      </c>
      <c r="C3295" t="s">
        <v>9783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9784</v>
      </c>
      <c r="B3296" t="s">
        <v>9785</v>
      </c>
      <c r="C3296" t="s">
        <v>9786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9787</v>
      </c>
      <c r="B3297" t="s">
        <v>9788</v>
      </c>
      <c r="C3297" t="s">
        <v>9789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9790</v>
      </c>
      <c r="B3298" t="s">
        <v>9791</v>
      </c>
      <c r="C3298" t="s">
        <v>9792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9793</v>
      </c>
      <c r="B3299" t="s">
        <v>9794</v>
      </c>
      <c r="C3299" t="s">
        <v>9795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9796</v>
      </c>
      <c r="B3300" t="s">
        <v>9797</v>
      </c>
      <c r="C3300" t="s">
        <v>9798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9799</v>
      </c>
      <c r="B3301" t="s">
        <v>9800</v>
      </c>
      <c r="C3301" t="s">
        <v>9801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9802</v>
      </c>
      <c r="B3302" t="s">
        <v>9803</v>
      </c>
      <c r="C3302" t="s">
        <v>9804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9805</v>
      </c>
      <c r="B3303" t="s">
        <v>9806</v>
      </c>
      <c r="C3303" t="s">
        <v>9807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9808</v>
      </c>
      <c r="B3304" t="s">
        <v>9809</v>
      </c>
      <c r="C3304" t="s">
        <v>9810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9811</v>
      </c>
      <c r="B3305" t="s">
        <v>9812</v>
      </c>
      <c r="C3305" t="s">
        <v>9813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9814</v>
      </c>
      <c r="B3306" t="s">
        <v>9815</v>
      </c>
      <c r="C3306" t="s">
        <v>9816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9817</v>
      </c>
      <c r="B3307" t="s">
        <v>9818</v>
      </c>
      <c r="C3307" t="s">
        <v>9819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9820</v>
      </c>
      <c r="B3308" t="s">
        <v>9821</v>
      </c>
      <c r="C3308" t="s">
        <v>9822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9823</v>
      </c>
      <c r="B3309" t="s">
        <v>9824</v>
      </c>
      <c r="C3309" t="s">
        <v>9825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9826</v>
      </c>
      <c r="B3310" t="s">
        <v>9827</v>
      </c>
      <c r="C3310" t="s">
        <v>9828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9829</v>
      </c>
      <c r="B3311" t="s">
        <v>9830</v>
      </c>
      <c r="C3311" t="s">
        <v>9831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9832</v>
      </c>
      <c r="B3312" t="s">
        <v>9833</v>
      </c>
      <c r="C3312" t="s">
        <v>9834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9835</v>
      </c>
      <c r="B3313" t="s">
        <v>9836</v>
      </c>
      <c r="C3313" t="s">
        <v>9837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9838</v>
      </c>
      <c r="B3314" t="s">
        <v>9839</v>
      </c>
      <c r="C3314" t="s">
        <v>9840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9841</v>
      </c>
      <c r="B3315" t="s">
        <v>9842</v>
      </c>
      <c r="C3315" t="s">
        <v>9843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9844</v>
      </c>
      <c r="B3316" t="s">
        <v>9845</v>
      </c>
      <c r="C3316" t="s">
        <v>9846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9847</v>
      </c>
      <c r="B3317" t="s">
        <v>9848</v>
      </c>
      <c r="C3317" t="s">
        <v>9849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9850</v>
      </c>
      <c r="B3318" t="s">
        <v>9851</v>
      </c>
      <c r="C3318" t="s">
        <v>9852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9853</v>
      </c>
      <c r="B3319" t="s">
        <v>9854</v>
      </c>
      <c r="C3319" t="s">
        <v>9855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9856</v>
      </c>
      <c r="B3320" t="s">
        <v>9857</v>
      </c>
      <c r="C3320" t="s">
        <v>9858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9859</v>
      </c>
      <c r="B3321" t="s">
        <v>9860</v>
      </c>
      <c r="C3321" t="s">
        <v>9861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9862</v>
      </c>
      <c r="B3322" t="s">
        <v>9863</v>
      </c>
      <c r="C3322" t="s">
        <v>9864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9865</v>
      </c>
      <c r="B3323" t="s">
        <v>9866</v>
      </c>
      <c r="C3323" t="s">
        <v>9867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9868</v>
      </c>
      <c r="B3324" t="s">
        <v>9869</v>
      </c>
      <c r="C3324" t="s">
        <v>9870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9871</v>
      </c>
      <c r="B3325" t="s">
        <v>9872</v>
      </c>
      <c r="C3325" t="s">
        <v>9873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9874</v>
      </c>
      <c r="B3326" t="s">
        <v>9875</v>
      </c>
      <c r="C3326" t="s">
        <v>9876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9877</v>
      </c>
      <c r="B3327" t="s">
        <v>9878</v>
      </c>
      <c r="C3327" t="s">
        <v>9879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9880</v>
      </c>
      <c r="B3328" t="s">
        <v>9881</v>
      </c>
      <c r="C3328" t="s">
        <v>9882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9883</v>
      </c>
      <c r="B3329" t="s">
        <v>9884</v>
      </c>
      <c r="C3329" t="s">
        <v>9885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9886</v>
      </c>
      <c r="B3330" t="s">
        <v>9887</v>
      </c>
      <c r="C3330" t="s">
        <v>9888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9889</v>
      </c>
      <c r="B3331" t="s">
        <v>9890</v>
      </c>
      <c r="C3331" t="s">
        <v>9891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9892</v>
      </c>
      <c r="B3332" t="s">
        <v>9893</v>
      </c>
      <c r="C3332" t="s">
        <v>9894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9895</v>
      </c>
      <c r="B3333" t="s">
        <v>9896</v>
      </c>
      <c r="C3333" t="s">
        <v>9897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9898</v>
      </c>
      <c r="B3334" t="s">
        <v>9899</v>
      </c>
      <c r="C3334" t="s">
        <v>9900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9901</v>
      </c>
      <c r="B3335" t="s">
        <v>9902</v>
      </c>
      <c r="C3335" t="s">
        <v>9903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9904</v>
      </c>
      <c r="B3336" t="s">
        <v>9905</v>
      </c>
      <c r="C3336" t="s">
        <v>9906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9907</v>
      </c>
      <c r="B3337" t="s">
        <v>9908</v>
      </c>
      <c r="C3337" t="s">
        <v>9909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9910</v>
      </c>
      <c r="B3338" t="s">
        <v>9911</v>
      </c>
      <c r="C3338" t="s">
        <v>9912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9913</v>
      </c>
      <c r="B3339" t="s">
        <v>9914</v>
      </c>
      <c r="C3339" t="s">
        <v>9915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9916</v>
      </c>
      <c r="B3340" t="s">
        <v>9914</v>
      </c>
      <c r="C3340" t="s">
        <v>9917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9918</v>
      </c>
      <c r="B3341" t="s">
        <v>9919</v>
      </c>
      <c r="C3341" t="s">
        <v>9920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9921</v>
      </c>
      <c r="B3342" t="s">
        <v>9922</v>
      </c>
      <c r="C3342" t="s">
        <v>9923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9924</v>
      </c>
      <c r="B3343" t="s">
        <v>9925</v>
      </c>
      <c r="C3343" t="s">
        <v>9926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9927</v>
      </c>
      <c r="B3344" t="s">
        <v>9928</v>
      </c>
      <c r="C3344" t="s">
        <v>9929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9930</v>
      </c>
      <c r="B3345" t="s">
        <v>9931</v>
      </c>
      <c r="C3345" t="s">
        <v>9932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9933</v>
      </c>
      <c r="B3346" t="s">
        <v>9934</v>
      </c>
      <c r="C3346" t="s">
        <v>9935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9936</v>
      </c>
      <c r="B3347" t="s">
        <v>9937</v>
      </c>
      <c r="C3347" t="s">
        <v>9938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9939</v>
      </c>
      <c r="B3348" t="s">
        <v>9940</v>
      </c>
      <c r="C3348" t="s">
        <v>9941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9942</v>
      </c>
      <c r="B3349" t="s">
        <v>9943</v>
      </c>
      <c r="C3349" t="s">
        <v>9944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9945</v>
      </c>
      <c r="B3350" t="s">
        <v>9946</v>
      </c>
      <c r="C3350" t="s">
        <v>9947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9948</v>
      </c>
      <c r="B3351" t="s">
        <v>9949</v>
      </c>
      <c r="C3351" t="s">
        <v>9950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9951</v>
      </c>
      <c r="B3352" t="s">
        <v>9952</v>
      </c>
      <c r="C3352" t="s">
        <v>9953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9954</v>
      </c>
      <c r="B3353" t="s">
        <v>9955</v>
      </c>
      <c r="C3353" t="s">
        <v>9956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9957</v>
      </c>
      <c r="B3354" t="s">
        <v>9958</v>
      </c>
      <c r="C3354" t="s">
        <v>9959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9960</v>
      </c>
      <c r="B3355" t="s">
        <v>9961</v>
      </c>
      <c r="C3355" t="s">
        <v>9962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9963</v>
      </c>
      <c r="B3356" t="s">
        <v>9961</v>
      </c>
      <c r="C3356" t="s">
        <v>9964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9965</v>
      </c>
      <c r="B3357" t="s">
        <v>9961</v>
      </c>
      <c r="C3357" t="s">
        <v>9966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9967</v>
      </c>
      <c r="B3358" t="s">
        <v>9968</v>
      </c>
      <c r="C3358" t="s">
        <v>9969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9970</v>
      </c>
      <c r="B3359" t="s">
        <v>9968</v>
      </c>
      <c r="C3359" t="s">
        <v>9971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9972</v>
      </c>
      <c r="B3360" t="s">
        <v>9973</v>
      </c>
      <c r="C3360" t="s">
        <v>9974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9975</v>
      </c>
      <c r="B3361" t="s">
        <v>9976</v>
      </c>
      <c r="C3361" t="s">
        <v>9977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9978</v>
      </c>
      <c r="B3362" t="s">
        <v>9979</v>
      </c>
      <c r="C3362" t="s">
        <v>9980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9981</v>
      </c>
      <c r="B3363" t="s">
        <v>9982</v>
      </c>
      <c r="C3363" t="s">
        <v>9983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9984</v>
      </c>
      <c r="B3364" t="s">
        <v>9985</v>
      </c>
      <c r="C3364" t="s">
        <v>9986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9987</v>
      </c>
      <c r="B3365" t="s">
        <v>9988</v>
      </c>
      <c r="C3365" t="s">
        <v>9989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9990</v>
      </c>
      <c r="B3366" t="s">
        <v>9991</v>
      </c>
      <c r="C3366" t="s">
        <v>9992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9993</v>
      </c>
      <c r="B3367" t="s">
        <v>9994</v>
      </c>
      <c r="C3367" t="s">
        <v>9995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9996</v>
      </c>
      <c r="B3368" t="s">
        <v>9997</v>
      </c>
      <c r="C3368" t="s">
        <v>9998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9999</v>
      </c>
      <c r="B3369" t="s">
        <v>10000</v>
      </c>
      <c r="C3369" t="s">
        <v>10001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10002</v>
      </c>
      <c r="B3370" t="s">
        <v>10000</v>
      </c>
      <c r="C3370" t="s">
        <v>10003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10004</v>
      </c>
      <c r="B3371" t="s">
        <v>10005</v>
      </c>
      <c r="C3371" t="s">
        <v>10006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10007</v>
      </c>
      <c r="B3372" t="s">
        <v>10008</v>
      </c>
      <c r="C3372" t="s">
        <v>10009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10010</v>
      </c>
      <c r="B3373" t="s">
        <v>10011</v>
      </c>
      <c r="C3373" t="s">
        <v>10012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10013</v>
      </c>
      <c r="B3374" t="s">
        <v>10014</v>
      </c>
      <c r="C3374" t="s">
        <v>10015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10016</v>
      </c>
      <c r="B3375" t="s">
        <v>10017</v>
      </c>
      <c r="C3375" t="s">
        <v>10018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10019</v>
      </c>
      <c r="B3376" t="s">
        <v>10020</v>
      </c>
      <c r="C3376" t="s">
        <v>10021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10022</v>
      </c>
      <c r="B3377" t="s">
        <v>10023</v>
      </c>
      <c r="C3377" t="s">
        <v>10024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10025</v>
      </c>
      <c r="B3378" t="s">
        <v>10026</v>
      </c>
      <c r="C3378" t="s">
        <v>10027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10028</v>
      </c>
      <c r="B3379" t="s">
        <v>10029</v>
      </c>
      <c r="C3379" t="s">
        <v>10030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10031</v>
      </c>
      <c r="B3380" t="s">
        <v>10032</v>
      </c>
      <c r="C3380" t="s">
        <v>10033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10034</v>
      </c>
      <c r="B3381" t="s">
        <v>10035</v>
      </c>
      <c r="C3381" t="s">
        <v>10036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10037</v>
      </c>
      <c r="B3382" t="s">
        <v>10038</v>
      </c>
      <c r="C3382" t="s">
        <v>10039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10040</v>
      </c>
      <c r="B3383" t="s">
        <v>10041</v>
      </c>
      <c r="C3383" t="s">
        <v>10042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10043</v>
      </c>
      <c r="B3384" t="s">
        <v>10044</v>
      </c>
      <c r="C3384" t="s">
        <v>10045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10046</v>
      </c>
      <c r="B3385" t="s">
        <v>10047</v>
      </c>
      <c r="C3385" t="s">
        <v>10048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10049</v>
      </c>
      <c r="B3386" t="s">
        <v>10050</v>
      </c>
      <c r="C3386" t="s">
        <v>10051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10052</v>
      </c>
      <c r="B3387" t="s">
        <v>10053</v>
      </c>
      <c r="C3387" t="s">
        <v>10054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10055</v>
      </c>
      <c r="B3388" t="s">
        <v>10056</v>
      </c>
      <c r="C3388" t="s">
        <v>10057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10058</v>
      </c>
      <c r="B3389" t="s">
        <v>10059</v>
      </c>
      <c r="C3389" t="s">
        <v>10060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10061</v>
      </c>
      <c r="B3390" t="s">
        <v>10062</v>
      </c>
      <c r="C3390" t="s">
        <v>10063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10064</v>
      </c>
      <c r="B3391" t="s">
        <v>10065</v>
      </c>
      <c r="C3391" t="s">
        <v>10066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10067</v>
      </c>
      <c r="B3392" t="s">
        <v>10068</v>
      </c>
      <c r="C3392" t="s">
        <v>10069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10070</v>
      </c>
      <c r="B3393" t="s">
        <v>10071</v>
      </c>
      <c r="C3393" t="s">
        <v>10072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10073</v>
      </c>
      <c r="B3394" t="s">
        <v>10074</v>
      </c>
      <c r="C3394" t="s">
        <v>10075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10076</v>
      </c>
      <c r="B3395" t="s">
        <v>10077</v>
      </c>
      <c r="C3395" t="s">
        <v>10078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10079</v>
      </c>
      <c r="B3396" t="s">
        <v>10080</v>
      </c>
      <c r="C3396" t="s">
        <v>10081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10082</v>
      </c>
      <c r="B3397" t="s">
        <v>10083</v>
      </c>
      <c r="C3397" t="s">
        <v>10084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10085</v>
      </c>
      <c r="B3398" t="s">
        <v>10086</v>
      </c>
      <c r="C3398" t="s">
        <v>10087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10088</v>
      </c>
      <c r="B3399" t="s">
        <v>10089</v>
      </c>
      <c r="C3399" t="s">
        <v>10090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10091</v>
      </c>
      <c r="B3400" t="s">
        <v>10092</v>
      </c>
      <c r="C3400" t="s">
        <v>10093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10094</v>
      </c>
      <c r="B3401" t="s">
        <v>10095</v>
      </c>
      <c r="C3401" t="s">
        <v>10096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10097</v>
      </c>
      <c r="B3402" t="s">
        <v>10098</v>
      </c>
      <c r="C3402" t="s">
        <v>10099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10100</v>
      </c>
      <c r="B3403" t="s">
        <v>10101</v>
      </c>
      <c r="C3403" t="s">
        <v>10102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10103</v>
      </c>
      <c r="B3404" t="s">
        <v>10104</v>
      </c>
      <c r="C3404" t="s">
        <v>10105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10106</v>
      </c>
      <c r="B3405" t="s">
        <v>10107</v>
      </c>
      <c r="C3405" t="s">
        <v>10108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10109</v>
      </c>
      <c r="B3406" t="s">
        <v>10110</v>
      </c>
      <c r="C3406" t="s">
        <v>10111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10112</v>
      </c>
      <c r="B3407" t="s">
        <v>10113</v>
      </c>
      <c r="C3407" t="s">
        <v>10114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10115</v>
      </c>
      <c r="B3408" t="s">
        <v>10116</v>
      </c>
      <c r="C3408" t="s">
        <v>10117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10118</v>
      </c>
      <c r="B3409" t="s">
        <v>10119</v>
      </c>
      <c r="C3409" t="s">
        <v>10120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10121</v>
      </c>
      <c r="B3410" t="s">
        <v>10119</v>
      </c>
      <c r="C3410" t="s">
        <v>10122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10123</v>
      </c>
      <c r="B3411" t="s">
        <v>10124</v>
      </c>
      <c r="C3411" t="s">
        <v>10125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10126</v>
      </c>
      <c r="B3412" t="s">
        <v>10127</v>
      </c>
      <c r="C3412" t="s">
        <v>10128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10129</v>
      </c>
      <c r="B3413" t="s">
        <v>10130</v>
      </c>
      <c r="C3413" t="s">
        <v>10131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10132</v>
      </c>
      <c r="B3414" t="s">
        <v>10133</v>
      </c>
      <c r="C3414" t="s">
        <v>10134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10135</v>
      </c>
      <c r="B3415" t="s">
        <v>10136</v>
      </c>
      <c r="C3415" t="s">
        <v>10137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10138</v>
      </c>
      <c r="B3416" t="s">
        <v>10139</v>
      </c>
      <c r="C3416" t="s">
        <v>10140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10141</v>
      </c>
      <c r="B3417" t="s">
        <v>10142</v>
      </c>
      <c r="C3417" t="s">
        <v>10143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10144</v>
      </c>
      <c r="B3418" t="s">
        <v>10145</v>
      </c>
      <c r="C3418" t="s">
        <v>10146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10147</v>
      </c>
      <c r="B3419" t="s">
        <v>10148</v>
      </c>
      <c r="C3419" t="s">
        <v>10149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10150</v>
      </c>
      <c r="B3420" t="s">
        <v>10151</v>
      </c>
      <c r="C3420" t="s">
        <v>10152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10153</v>
      </c>
      <c r="B3421" t="s">
        <v>10154</v>
      </c>
      <c r="C3421" t="s">
        <v>10155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10156</v>
      </c>
      <c r="B3422" t="s">
        <v>10157</v>
      </c>
      <c r="C3422" t="s">
        <v>10158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10159</v>
      </c>
      <c r="B3423" t="s">
        <v>10160</v>
      </c>
      <c r="C3423" t="s">
        <v>10161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10162</v>
      </c>
      <c r="B3424" t="s">
        <v>10163</v>
      </c>
      <c r="C3424" t="s">
        <v>10164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10165</v>
      </c>
      <c r="B3425" t="s">
        <v>10166</v>
      </c>
      <c r="C3425" t="s">
        <v>10167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10168</v>
      </c>
      <c r="B3426" t="s">
        <v>10169</v>
      </c>
      <c r="C3426" t="s">
        <v>10170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10171</v>
      </c>
      <c r="B3427" t="s">
        <v>10172</v>
      </c>
      <c r="C3427" t="s">
        <v>10173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10174</v>
      </c>
      <c r="B3428" t="s">
        <v>10175</v>
      </c>
      <c r="C3428" t="s">
        <v>10176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10177</v>
      </c>
      <c r="B3429" t="s">
        <v>10178</v>
      </c>
      <c r="C3429" t="s">
        <v>10179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10180</v>
      </c>
      <c r="B3430" t="s">
        <v>10181</v>
      </c>
      <c r="C3430" t="s">
        <v>10182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10183</v>
      </c>
      <c r="B3431" t="s">
        <v>10184</v>
      </c>
      <c r="C3431" t="s">
        <v>10185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10186</v>
      </c>
      <c r="B3432" t="s">
        <v>10187</v>
      </c>
      <c r="C3432" t="s">
        <v>10188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10189</v>
      </c>
      <c r="B3433" t="s">
        <v>10190</v>
      </c>
      <c r="C3433" t="s">
        <v>10191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10192</v>
      </c>
      <c r="B3434" t="s">
        <v>10193</v>
      </c>
      <c r="C3434" t="s">
        <v>10194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10195</v>
      </c>
      <c r="B3435" t="s">
        <v>10196</v>
      </c>
      <c r="C3435" t="s">
        <v>10197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10198</v>
      </c>
      <c r="B3436" t="s">
        <v>10196</v>
      </c>
      <c r="C3436" t="s">
        <v>10199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10200</v>
      </c>
      <c r="B3437" t="s">
        <v>10201</v>
      </c>
      <c r="C3437" t="s">
        <v>10202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10203</v>
      </c>
      <c r="B3438" t="s">
        <v>10204</v>
      </c>
      <c r="C3438" t="s">
        <v>10205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10206</v>
      </c>
      <c r="B3439" t="s">
        <v>10207</v>
      </c>
      <c r="C3439" t="s">
        <v>10208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10209</v>
      </c>
      <c r="B3440" t="s">
        <v>10210</v>
      </c>
      <c r="C3440" t="s">
        <v>10211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10212</v>
      </c>
      <c r="B3441" t="s">
        <v>10213</v>
      </c>
      <c r="C3441" t="s">
        <v>10214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10215</v>
      </c>
      <c r="B3442" t="s">
        <v>10216</v>
      </c>
      <c r="C3442" t="s">
        <v>10217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10218</v>
      </c>
      <c r="B3443" t="s">
        <v>10219</v>
      </c>
      <c r="C3443" t="s">
        <v>10220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10221</v>
      </c>
      <c r="B3444" t="s">
        <v>10222</v>
      </c>
      <c r="C3444" t="s">
        <v>10223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10224</v>
      </c>
      <c r="B3445" t="s">
        <v>10225</v>
      </c>
      <c r="C3445" t="s">
        <v>10226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10227</v>
      </c>
      <c r="B3446" t="s">
        <v>10225</v>
      </c>
      <c r="C3446" t="s">
        <v>10228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10229</v>
      </c>
      <c r="B3447" t="s">
        <v>10230</v>
      </c>
      <c r="C3447" t="s">
        <v>10231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10232</v>
      </c>
      <c r="B3448" t="s">
        <v>10233</v>
      </c>
      <c r="C3448" t="s">
        <v>10234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10235</v>
      </c>
      <c r="B3449" t="s">
        <v>10236</v>
      </c>
      <c r="C3449" t="s">
        <v>10237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10238</v>
      </c>
      <c r="B3450" t="s">
        <v>10239</v>
      </c>
      <c r="C3450" t="s">
        <v>10240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10241</v>
      </c>
      <c r="B3451" t="s">
        <v>10242</v>
      </c>
      <c r="C3451" t="s">
        <v>10243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10244</v>
      </c>
      <c r="B3452" t="s">
        <v>10245</v>
      </c>
      <c r="C3452" t="s">
        <v>10246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10247</v>
      </c>
      <c r="B3453" t="s">
        <v>10248</v>
      </c>
      <c r="C3453" t="s">
        <v>10249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10250</v>
      </c>
      <c r="B3454" t="s">
        <v>10251</v>
      </c>
      <c r="C3454" t="s">
        <v>10252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10253</v>
      </c>
      <c r="B3455" t="s">
        <v>10254</v>
      </c>
      <c r="C3455" t="s">
        <v>10255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10256</v>
      </c>
      <c r="B3456" t="s">
        <v>10254</v>
      </c>
      <c r="C3456" t="s">
        <v>10257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10258</v>
      </c>
      <c r="B3457" t="s">
        <v>10259</v>
      </c>
      <c r="C3457" t="s">
        <v>10260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10261</v>
      </c>
      <c r="B3458" t="s">
        <v>10262</v>
      </c>
      <c r="C3458" t="s">
        <v>10263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10264</v>
      </c>
      <c r="B3459" t="s">
        <v>10265</v>
      </c>
      <c r="C3459" t="s">
        <v>10266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10267</v>
      </c>
      <c r="B3460" t="s">
        <v>10268</v>
      </c>
      <c r="C3460" t="s">
        <v>10269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10270</v>
      </c>
      <c r="B3461" t="s">
        <v>10271</v>
      </c>
      <c r="C3461" t="s">
        <v>10272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10273</v>
      </c>
      <c r="B3462" t="s">
        <v>10274</v>
      </c>
      <c r="C3462" t="s">
        <v>10275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10276</v>
      </c>
      <c r="B3463" t="s">
        <v>10277</v>
      </c>
      <c r="C3463" t="s">
        <v>10278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10279</v>
      </c>
      <c r="B3464" t="s">
        <v>10280</v>
      </c>
      <c r="C3464" t="s">
        <v>10281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10282</v>
      </c>
      <c r="B3465" t="s">
        <v>10283</v>
      </c>
      <c r="C3465" t="s">
        <v>10284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10285</v>
      </c>
      <c r="B3466" t="s">
        <v>10286</v>
      </c>
      <c r="C3466" t="s">
        <v>10287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10288</v>
      </c>
      <c r="B3467" t="s">
        <v>10289</v>
      </c>
      <c r="C3467" t="s">
        <v>10290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10291</v>
      </c>
      <c r="B3468" t="s">
        <v>10292</v>
      </c>
      <c r="C3468" t="s">
        <v>10293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10294</v>
      </c>
      <c r="B3469" t="s">
        <v>10295</v>
      </c>
      <c r="C3469" t="s">
        <v>10296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10297</v>
      </c>
      <c r="B3470" t="s">
        <v>10298</v>
      </c>
      <c r="C3470" t="s">
        <v>10299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10300</v>
      </c>
      <c r="B3471" t="s">
        <v>10301</v>
      </c>
      <c r="C3471" t="s">
        <v>10302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10303</v>
      </c>
      <c r="B3472" t="s">
        <v>10304</v>
      </c>
      <c r="C3472" t="s">
        <v>10305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10306</v>
      </c>
      <c r="B3473" t="s">
        <v>10307</v>
      </c>
      <c r="C3473" t="s">
        <v>10308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10309</v>
      </c>
      <c r="B3474" t="s">
        <v>10310</v>
      </c>
      <c r="C3474" t="s">
        <v>10311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10312</v>
      </c>
      <c r="B3475" t="s">
        <v>10313</v>
      </c>
      <c r="C3475" t="s">
        <v>10314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10315</v>
      </c>
      <c r="B3476" t="s">
        <v>10316</v>
      </c>
      <c r="C3476" t="s">
        <v>10317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10318</v>
      </c>
      <c r="B3477" t="s">
        <v>10319</v>
      </c>
      <c r="C3477" t="s">
        <v>10320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10321</v>
      </c>
      <c r="B3478" t="s">
        <v>10322</v>
      </c>
      <c r="C3478" t="s">
        <v>10323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10324</v>
      </c>
      <c r="B3479" t="s">
        <v>10325</v>
      </c>
      <c r="C3479" t="s">
        <v>10326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10327</v>
      </c>
      <c r="B3480" t="s">
        <v>10328</v>
      </c>
      <c r="C3480" t="s">
        <v>10329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10330</v>
      </c>
      <c r="B3481" t="s">
        <v>10331</v>
      </c>
      <c r="C3481" t="s">
        <v>10332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10333</v>
      </c>
      <c r="B3482" t="s">
        <v>10334</v>
      </c>
      <c r="C3482" t="s">
        <v>10335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10336</v>
      </c>
      <c r="B3483" t="s">
        <v>10337</v>
      </c>
      <c r="C3483" t="s">
        <v>10338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10339</v>
      </c>
      <c r="B3484" t="s">
        <v>10340</v>
      </c>
      <c r="C3484" t="s">
        <v>10341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10339</v>
      </c>
      <c r="B3485" t="s">
        <v>10340</v>
      </c>
      <c r="C3485" t="s">
        <v>10342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10343</v>
      </c>
      <c r="B3486" t="s">
        <v>10340</v>
      </c>
      <c r="C3486" t="s">
        <v>10344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10345</v>
      </c>
      <c r="B3487" t="s">
        <v>10346</v>
      </c>
      <c r="C3487" t="s">
        <v>10347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10348</v>
      </c>
      <c r="B3488" t="s">
        <v>10349</v>
      </c>
      <c r="C3488" t="s">
        <v>10350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10351</v>
      </c>
      <c r="B3489" t="s">
        <v>10352</v>
      </c>
      <c r="C3489" t="s">
        <v>10353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10354</v>
      </c>
      <c r="B3490" t="s">
        <v>10355</v>
      </c>
      <c r="C3490" t="s">
        <v>10356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10357</v>
      </c>
      <c r="B3491" t="s">
        <v>10358</v>
      </c>
      <c r="C3491" t="s">
        <v>10359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10360</v>
      </c>
      <c r="B3492" t="s">
        <v>10361</v>
      </c>
      <c r="C3492" t="s">
        <v>10362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10363</v>
      </c>
      <c r="B3493" t="s">
        <v>10364</v>
      </c>
      <c r="C3493" t="s">
        <v>10365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10366</v>
      </c>
      <c r="B3494" t="s">
        <v>10367</v>
      </c>
      <c r="C3494" t="s">
        <v>10368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10369</v>
      </c>
      <c r="B3495" t="s">
        <v>10370</v>
      </c>
      <c r="C3495" t="s">
        <v>10371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10372</v>
      </c>
      <c r="B3496" t="s">
        <v>10373</v>
      </c>
      <c r="C3496" t="s">
        <v>10374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10375</v>
      </c>
      <c r="B3497" t="s">
        <v>10376</v>
      </c>
      <c r="C3497" t="s">
        <v>10377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10378</v>
      </c>
      <c r="B3498" t="s">
        <v>10379</v>
      </c>
      <c r="C3498" t="s">
        <v>10380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10381</v>
      </c>
      <c r="B3499" t="s">
        <v>10382</v>
      </c>
      <c r="C3499" t="s">
        <v>10383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10384</v>
      </c>
      <c r="B3500" t="s">
        <v>10385</v>
      </c>
      <c r="C3500" t="s">
        <v>10386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10387</v>
      </c>
      <c r="B3501" t="s">
        <v>10388</v>
      </c>
      <c r="C3501" t="s">
        <v>10389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10390</v>
      </c>
      <c r="B3502" t="s">
        <v>10391</v>
      </c>
      <c r="C3502" t="s">
        <v>10392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10393</v>
      </c>
      <c r="B3503" t="s">
        <v>10391</v>
      </c>
      <c r="C3503" t="s">
        <v>10394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10395</v>
      </c>
      <c r="B3504" t="s">
        <v>10396</v>
      </c>
      <c r="C3504" t="s">
        <v>10397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10398</v>
      </c>
      <c r="B3505" t="s">
        <v>10399</v>
      </c>
      <c r="C3505" t="s">
        <v>10400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10401</v>
      </c>
      <c r="B3506" t="s">
        <v>10402</v>
      </c>
      <c r="C3506" t="s">
        <v>10403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10404</v>
      </c>
      <c r="B3507" t="s">
        <v>10405</v>
      </c>
      <c r="C3507" t="s">
        <v>10406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10407</v>
      </c>
      <c r="B3508" t="s">
        <v>10408</v>
      </c>
      <c r="C3508" t="s">
        <v>10409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10410</v>
      </c>
      <c r="B3509" t="s">
        <v>10408</v>
      </c>
      <c r="C3509" t="s">
        <v>10411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10412</v>
      </c>
      <c r="B3510" t="s">
        <v>10413</v>
      </c>
      <c r="C3510" t="s">
        <v>10414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10415</v>
      </c>
      <c r="B3511" t="s">
        <v>10416</v>
      </c>
      <c r="C3511" t="s">
        <v>10417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10418</v>
      </c>
      <c r="B3512" t="s">
        <v>10419</v>
      </c>
      <c r="C3512" t="s">
        <v>10420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10421</v>
      </c>
      <c r="B3513" t="s">
        <v>10422</v>
      </c>
      <c r="C3513" t="s">
        <v>10423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10424</v>
      </c>
      <c r="B3514" t="s">
        <v>10425</v>
      </c>
      <c r="C3514" t="s">
        <v>10426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10427</v>
      </c>
      <c r="B3515" t="s">
        <v>10428</v>
      </c>
      <c r="C3515" t="s">
        <v>10429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10430</v>
      </c>
      <c r="B3516" t="s">
        <v>10431</v>
      </c>
      <c r="C3516" t="s">
        <v>10432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10433</v>
      </c>
      <c r="B3517" t="s">
        <v>10434</v>
      </c>
      <c r="C3517" t="s">
        <v>10435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10436</v>
      </c>
      <c r="B3518" t="s">
        <v>10437</v>
      </c>
      <c r="C3518" t="s">
        <v>10438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10439</v>
      </c>
      <c r="B3519" t="s">
        <v>10440</v>
      </c>
      <c r="C3519" t="s">
        <v>10441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10442</v>
      </c>
      <c r="B3520" t="s">
        <v>10443</v>
      </c>
      <c r="C3520" t="s">
        <v>10444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10445</v>
      </c>
      <c r="B3521" t="s">
        <v>10446</v>
      </c>
      <c r="C3521" t="s">
        <v>10447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10448</v>
      </c>
      <c r="B3522" t="s">
        <v>10449</v>
      </c>
      <c r="C3522" t="s">
        <v>10450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10451</v>
      </c>
      <c r="B3523" t="s">
        <v>10452</v>
      </c>
      <c r="C3523" t="s">
        <v>10453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10454</v>
      </c>
      <c r="B3524" t="s">
        <v>10455</v>
      </c>
      <c r="C3524" t="s">
        <v>10456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10457</v>
      </c>
      <c r="B3525" t="s">
        <v>10458</v>
      </c>
      <c r="C3525" t="s">
        <v>10459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10460</v>
      </c>
      <c r="B3526" t="s">
        <v>10461</v>
      </c>
      <c r="C3526" t="s">
        <v>10462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10463</v>
      </c>
      <c r="B3527" t="s">
        <v>10464</v>
      </c>
      <c r="C3527" t="s">
        <v>10465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10466</v>
      </c>
      <c r="B3528" t="s">
        <v>10467</v>
      </c>
      <c r="C3528" t="s">
        <v>10468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10469</v>
      </c>
      <c r="B3529" t="s">
        <v>10470</v>
      </c>
      <c r="C3529" t="s">
        <v>10471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10472</v>
      </c>
      <c r="B3530" t="s">
        <v>10473</v>
      </c>
      <c r="C3530" t="s">
        <v>10474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10475</v>
      </c>
      <c r="B3531" t="s">
        <v>10476</v>
      </c>
      <c r="C3531" t="s">
        <v>10477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10478</v>
      </c>
      <c r="B3532" t="s">
        <v>10479</v>
      </c>
      <c r="C3532" t="s">
        <v>10480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10481</v>
      </c>
      <c r="B3533" t="s">
        <v>10482</v>
      </c>
      <c r="C3533" t="s">
        <v>10483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10484</v>
      </c>
      <c r="B3534" t="s">
        <v>10485</v>
      </c>
      <c r="C3534" t="s">
        <v>10486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10487</v>
      </c>
      <c r="B3535" t="s">
        <v>10488</v>
      </c>
      <c r="C3535" t="s">
        <v>10489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10490</v>
      </c>
      <c r="B3536" t="s">
        <v>10491</v>
      </c>
      <c r="C3536" t="s">
        <v>10492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10493</v>
      </c>
      <c r="B3537" t="s">
        <v>10494</v>
      </c>
      <c r="C3537" t="s">
        <v>10495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10496</v>
      </c>
      <c r="B3538" t="s">
        <v>10497</v>
      </c>
      <c r="C3538" t="s">
        <v>10498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10499</v>
      </c>
      <c r="B3539" t="s">
        <v>10500</v>
      </c>
      <c r="C3539" t="s">
        <v>10501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10502</v>
      </c>
      <c r="B3540" t="s">
        <v>10503</v>
      </c>
      <c r="C3540" t="s">
        <v>10504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10505</v>
      </c>
      <c r="B3541" t="s">
        <v>10506</v>
      </c>
      <c r="C3541" t="s">
        <v>10507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10508</v>
      </c>
      <c r="B3542" t="s">
        <v>10509</v>
      </c>
      <c r="C3542" t="s">
        <v>10510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10511</v>
      </c>
      <c r="B3543" t="s">
        <v>10512</v>
      </c>
      <c r="C3543" t="s">
        <v>10513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10514</v>
      </c>
      <c r="B3544" t="s">
        <v>10515</v>
      </c>
      <c r="C3544" t="s">
        <v>10516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10517</v>
      </c>
      <c r="B3545" t="s">
        <v>10518</v>
      </c>
      <c r="C3545" t="s">
        <v>10519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10520</v>
      </c>
      <c r="B3546" t="s">
        <v>10521</v>
      </c>
      <c r="C3546" t="s">
        <v>10522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10523</v>
      </c>
      <c r="B3547" t="s">
        <v>10524</v>
      </c>
      <c r="C3547" t="s">
        <v>10525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10526</v>
      </c>
      <c r="B3548" t="s">
        <v>10527</v>
      </c>
      <c r="C3548" t="s">
        <v>10528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10529</v>
      </c>
      <c r="B3549" t="s">
        <v>10530</v>
      </c>
      <c r="C3549" t="s">
        <v>10531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10532</v>
      </c>
      <c r="B3550" t="s">
        <v>10533</v>
      </c>
      <c r="C3550" t="s">
        <v>10534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10535</v>
      </c>
      <c r="B3551" t="s">
        <v>10536</v>
      </c>
      <c r="C3551" t="s">
        <v>10537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10538</v>
      </c>
      <c r="B3552" t="s">
        <v>10539</v>
      </c>
      <c r="C3552" t="s">
        <v>10540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10541</v>
      </c>
      <c r="B3553" t="s">
        <v>10542</v>
      </c>
      <c r="C3553" t="s">
        <v>10543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10544</v>
      </c>
      <c r="B3554" t="s">
        <v>10545</v>
      </c>
      <c r="C3554" t="s">
        <v>10546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10547</v>
      </c>
      <c r="B3555" t="s">
        <v>10548</v>
      </c>
      <c r="C3555" t="s">
        <v>10549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10550</v>
      </c>
      <c r="B3556" t="s">
        <v>10551</v>
      </c>
      <c r="C3556" t="s">
        <v>10552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10553</v>
      </c>
      <c r="B3557" t="s">
        <v>10554</v>
      </c>
      <c r="C3557" t="s">
        <v>10555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10556</v>
      </c>
      <c r="B3558" t="s">
        <v>10557</v>
      </c>
      <c r="C3558" t="s">
        <v>10558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10559</v>
      </c>
      <c r="B3559" t="s">
        <v>10560</v>
      </c>
      <c r="C3559" t="s">
        <v>10561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10562</v>
      </c>
      <c r="B3560" t="s">
        <v>10563</v>
      </c>
      <c r="C3560" t="s">
        <v>10564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10565</v>
      </c>
      <c r="B3561" t="s">
        <v>10566</v>
      </c>
      <c r="C3561" t="s">
        <v>10567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10568</v>
      </c>
      <c r="B3562" t="s">
        <v>10569</v>
      </c>
      <c r="C3562" t="s">
        <v>10570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10571</v>
      </c>
      <c r="B3563" t="s">
        <v>10572</v>
      </c>
      <c r="C3563" t="s">
        <v>10573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10574</v>
      </c>
      <c r="B3564" t="s">
        <v>10575</v>
      </c>
      <c r="C3564" t="s">
        <v>10576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10577</v>
      </c>
      <c r="B3565" t="s">
        <v>10578</v>
      </c>
      <c r="C3565" t="s">
        <v>10579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10580</v>
      </c>
      <c r="B3566" t="s">
        <v>10581</v>
      </c>
      <c r="C3566" t="s">
        <v>10582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10583</v>
      </c>
      <c r="B3567" t="s">
        <v>10584</v>
      </c>
      <c r="C3567" t="s">
        <v>10585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10586</v>
      </c>
      <c r="B3568" t="s">
        <v>10587</v>
      </c>
      <c r="C3568" t="s">
        <v>10588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10589</v>
      </c>
      <c r="B3569" t="s">
        <v>10590</v>
      </c>
      <c r="C3569" t="s">
        <v>10591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10592</v>
      </c>
      <c r="B3570" t="s">
        <v>10593</v>
      </c>
      <c r="C3570" t="s">
        <v>10594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10595</v>
      </c>
      <c r="B3571" t="s">
        <v>10596</v>
      </c>
      <c r="C3571" t="s">
        <v>10597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10598</v>
      </c>
      <c r="B3572" t="s">
        <v>10599</v>
      </c>
      <c r="C3572" t="s">
        <v>10600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10601</v>
      </c>
      <c r="B3573" t="s">
        <v>10602</v>
      </c>
      <c r="C3573" t="s">
        <v>10603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10604</v>
      </c>
      <c r="B3574" t="s">
        <v>10605</v>
      </c>
      <c r="C3574" t="s">
        <v>10606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10607</v>
      </c>
      <c r="B3575" t="s">
        <v>10608</v>
      </c>
      <c r="C3575" t="s">
        <v>10609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10610</v>
      </c>
      <c r="B3576" t="s">
        <v>10608</v>
      </c>
      <c r="C3576" t="s">
        <v>10611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10612</v>
      </c>
      <c r="B3577" t="s">
        <v>10613</v>
      </c>
      <c r="C3577" t="s">
        <v>10614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10615</v>
      </c>
      <c r="B3578" t="s">
        <v>10616</v>
      </c>
      <c r="C3578" t="s">
        <v>10617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10618</v>
      </c>
      <c r="B3579" t="s">
        <v>10619</v>
      </c>
      <c r="C3579" t="s">
        <v>10620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10621</v>
      </c>
      <c r="B3580" t="s">
        <v>10622</v>
      </c>
      <c r="C3580" t="s">
        <v>10623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10624</v>
      </c>
      <c r="B3581" t="s">
        <v>10625</v>
      </c>
      <c r="C3581" t="s">
        <v>10626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10627</v>
      </c>
      <c r="B3582" t="s">
        <v>10628</v>
      </c>
      <c r="C3582" t="s">
        <v>10629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10630</v>
      </c>
      <c r="B3583" t="s">
        <v>10631</v>
      </c>
      <c r="C3583" t="s">
        <v>10632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10633</v>
      </c>
      <c r="B3584" t="s">
        <v>10634</v>
      </c>
      <c r="C3584" t="s">
        <v>10635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10636</v>
      </c>
      <c r="B3585" t="s">
        <v>10637</v>
      </c>
      <c r="C3585" t="s">
        <v>10638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10639</v>
      </c>
      <c r="B3586" t="s">
        <v>10640</v>
      </c>
      <c r="C3586" t="s">
        <v>10641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10642</v>
      </c>
      <c r="B3587" t="s">
        <v>10643</v>
      </c>
      <c r="C3587" t="s">
        <v>10644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10645</v>
      </c>
      <c r="B3588" t="s">
        <v>10646</v>
      </c>
      <c r="C3588" t="s">
        <v>10647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10648</v>
      </c>
      <c r="B3589" t="s">
        <v>10649</v>
      </c>
      <c r="C3589" t="s">
        <v>10650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10651</v>
      </c>
      <c r="B3590" t="s">
        <v>10652</v>
      </c>
      <c r="C3590" t="s">
        <v>10653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10654</v>
      </c>
      <c r="B3591" t="s">
        <v>10655</v>
      </c>
      <c r="C3591" t="s">
        <v>10656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10657</v>
      </c>
      <c r="B3592" t="s">
        <v>10658</v>
      </c>
      <c r="C3592" t="s">
        <v>10659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10660</v>
      </c>
      <c r="B3593" t="s">
        <v>10661</v>
      </c>
      <c r="C3593" t="s">
        <v>10662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10663</v>
      </c>
      <c r="B3594" t="s">
        <v>10664</v>
      </c>
      <c r="C3594" t="s">
        <v>10665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10666</v>
      </c>
      <c r="B3595" t="s">
        <v>10667</v>
      </c>
      <c r="C3595" t="s">
        <v>10668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10669</v>
      </c>
      <c r="B3596" t="s">
        <v>10670</v>
      </c>
      <c r="C3596" t="s">
        <v>10671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10672</v>
      </c>
      <c r="B3597" t="s">
        <v>10673</v>
      </c>
      <c r="C3597" t="s">
        <v>10674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10675</v>
      </c>
      <c r="B3598" t="s">
        <v>10676</v>
      </c>
      <c r="C3598" t="s">
        <v>10677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10678</v>
      </c>
      <c r="B3599" t="s">
        <v>10679</v>
      </c>
      <c r="C3599" t="s">
        <v>10680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10681</v>
      </c>
      <c r="B3600" t="s">
        <v>10682</v>
      </c>
      <c r="C3600" t="s">
        <v>10683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10684</v>
      </c>
      <c r="B3601" t="s">
        <v>10685</v>
      </c>
      <c r="C3601" t="s">
        <v>10686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10687</v>
      </c>
      <c r="B3602" t="s">
        <v>10688</v>
      </c>
      <c r="C3602" t="s">
        <v>10689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10690</v>
      </c>
      <c r="B3603" t="s">
        <v>10691</v>
      </c>
      <c r="C3603" t="s">
        <v>10692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10693</v>
      </c>
      <c r="B3604" t="s">
        <v>10694</v>
      </c>
      <c r="C3604" t="s">
        <v>10695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10696</v>
      </c>
      <c r="B3605" t="s">
        <v>10697</v>
      </c>
      <c r="C3605" t="s">
        <v>10698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10699</v>
      </c>
      <c r="B3606" t="s">
        <v>10700</v>
      </c>
      <c r="C3606" t="s">
        <v>10701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10702</v>
      </c>
      <c r="B3607" t="s">
        <v>10703</v>
      </c>
      <c r="C3607" t="s">
        <v>10704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10705</v>
      </c>
      <c r="B3608" t="s">
        <v>10706</v>
      </c>
      <c r="C3608" t="s">
        <v>10707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10708</v>
      </c>
      <c r="B3609" t="s">
        <v>10709</v>
      </c>
      <c r="C3609" t="s">
        <v>10710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10711</v>
      </c>
      <c r="B3610" t="s">
        <v>10712</v>
      </c>
      <c r="C3610" t="s">
        <v>10713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10714</v>
      </c>
      <c r="B3611" t="s">
        <v>10715</v>
      </c>
      <c r="C3611" t="s">
        <v>10716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10717</v>
      </c>
      <c r="B3612" t="s">
        <v>10718</v>
      </c>
      <c r="C3612" t="s">
        <v>10719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10720</v>
      </c>
      <c r="B3613" t="s">
        <v>10721</v>
      </c>
      <c r="C3613" t="s">
        <v>10722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10723</v>
      </c>
      <c r="B3614" t="s">
        <v>10724</v>
      </c>
      <c r="C3614" t="s">
        <v>10725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10726</v>
      </c>
      <c r="B3615" t="s">
        <v>10727</v>
      </c>
      <c r="C3615" t="s">
        <v>10728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10729</v>
      </c>
      <c r="B3616" t="s">
        <v>10730</v>
      </c>
      <c r="C3616" t="s">
        <v>10731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10732</v>
      </c>
      <c r="B3617" t="s">
        <v>10733</v>
      </c>
      <c r="C3617" t="s">
        <v>10734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10735</v>
      </c>
      <c r="B3618" t="s">
        <v>10736</v>
      </c>
      <c r="C3618" t="s">
        <v>10737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10738</v>
      </c>
      <c r="B3619" t="s">
        <v>10739</v>
      </c>
      <c r="C3619" t="s">
        <v>10740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10741</v>
      </c>
      <c r="B3620" t="s">
        <v>10742</v>
      </c>
      <c r="C3620" t="s">
        <v>10743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10744</v>
      </c>
      <c r="B3621" t="s">
        <v>10745</v>
      </c>
      <c r="C3621" t="s">
        <v>10746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10747</v>
      </c>
      <c r="B3622" t="s">
        <v>10748</v>
      </c>
      <c r="C3622" t="s">
        <v>10749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10750</v>
      </c>
      <c r="B3623" t="s">
        <v>10751</v>
      </c>
      <c r="C3623" t="s">
        <v>10752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10753</v>
      </c>
      <c r="B3624" t="s">
        <v>10754</v>
      </c>
      <c r="C3624" t="s">
        <v>10755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10756</v>
      </c>
      <c r="B3625" t="s">
        <v>10757</v>
      </c>
      <c r="C3625" t="s">
        <v>10758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10759</v>
      </c>
      <c r="B3626" t="s">
        <v>10760</v>
      </c>
      <c r="C3626" t="s">
        <v>10761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10762</v>
      </c>
      <c r="B3627" t="s">
        <v>10763</v>
      </c>
      <c r="C3627" t="s">
        <v>10764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10765</v>
      </c>
      <c r="B3628" t="s">
        <v>10766</v>
      </c>
      <c r="C3628" t="s">
        <v>10767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10768</v>
      </c>
      <c r="B3629" t="s">
        <v>10769</v>
      </c>
      <c r="C3629" t="s">
        <v>10770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10771</v>
      </c>
      <c r="B3630" t="s">
        <v>10772</v>
      </c>
      <c r="C3630" t="s">
        <v>10773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10774</v>
      </c>
      <c r="B3631" t="s">
        <v>10775</v>
      </c>
      <c r="C3631" t="s">
        <v>10776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10777</v>
      </c>
      <c r="B3632" t="s">
        <v>10778</v>
      </c>
      <c r="C3632" t="s">
        <v>10779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10780</v>
      </c>
      <c r="B3633" t="s">
        <v>10781</v>
      </c>
      <c r="C3633" t="s">
        <v>10782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10783</v>
      </c>
      <c r="B3634" t="s">
        <v>10784</v>
      </c>
      <c r="C3634" t="s">
        <v>10785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10786</v>
      </c>
      <c r="B3635" t="s">
        <v>10787</v>
      </c>
      <c r="C3635" t="s">
        <v>10788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10789</v>
      </c>
      <c r="B3636" t="s">
        <v>10790</v>
      </c>
      <c r="C3636" t="s">
        <v>10791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10792</v>
      </c>
      <c r="B3637" t="s">
        <v>10793</v>
      </c>
      <c r="C3637" t="s">
        <v>10794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10795</v>
      </c>
      <c r="B3638" t="s">
        <v>10796</v>
      </c>
      <c r="C3638" t="s">
        <v>10797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10798</v>
      </c>
      <c r="B3639" t="s">
        <v>10799</v>
      </c>
      <c r="C3639" t="s">
        <v>10800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10801</v>
      </c>
      <c r="B3640" t="s">
        <v>10802</v>
      </c>
      <c r="C3640" t="s">
        <v>10803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10804</v>
      </c>
      <c r="B3641" t="s">
        <v>10805</v>
      </c>
      <c r="C3641" t="s">
        <v>10806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10807</v>
      </c>
      <c r="B3642" t="s">
        <v>10808</v>
      </c>
      <c r="C3642" t="s">
        <v>10809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10810</v>
      </c>
      <c r="B3643" t="s">
        <v>10808</v>
      </c>
      <c r="C3643" t="s">
        <v>10811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10812</v>
      </c>
      <c r="B3644" t="s">
        <v>10813</v>
      </c>
      <c r="C3644" t="s">
        <v>10814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10815</v>
      </c>
      <c r="B3645" t="s">
        <v>10816</v>
      </c>
      <c r="C3645" t="s">
        <v>10817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10818</v>
      </c>
      <c r="B3646" t="s">
        <v>10819</v>
      </c>
      <c r="C3646" t="s">
        <v>10820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10821</v>
      </c>
      <c r="B3647" t="s">
        <v>10822</v>
      </c>
      <c r="C3647" t="s">
        <v>10823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10824</v>
      </c>
      <c r="B3648" t="s">
        <v>10822</v>
      </c>
      <c r="C3648" t="s">
        <v>10825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10826</v>
      </c>
      <c r="B3649" t="s">
        <v>10827</v>
      </c>
      <c r="C3649" t="s">
        <v>10828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10829</v>
      </c>
      <c r="B3650" t="s">
        <v>10830</v>
      </c>
      <c r="C3650" t="s">
        <v>10831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10832</v>
      </c>
      <c r="B3651" t="s">
        <v>10833</v>
      </c>
      <c r="C3651" t="s">
        <v>10834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10835</v>
      </c>
      <c r="B3652" t="s">
        <v>10836</v>
      </c>
      <c r="C3652" t="s">
        <v>10837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10838</v>
      </c>
      <c r="B3653" t="s">
        <v>10839</v>
      </c>
      <c r="C3653" t="s">
        <v>10840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10841</v>
      </c>
      <c r="B3654" t="s">
        <v>10842</v>
      </c>
      <c r="C3654" t="s">
        <v>10843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10844</v>
      </c>
      <c r="B3655" t="s">
        <v>10845</v>
      </c>
      <c r="C3655" t="s">
        <v>10846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10847</v>
      </c>
      <c r="B3656" t="s">
        <v>10845</v>
      </c>
      <c r="C3656" t="s">
        <v>10848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10849</v>
      </c>
      <c r="B3657" t="s">
        <v>10850</v>
      </c>
      <c r="C3657" t="s">
        <v>10851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10852</v>
      </c>
      <c r="B3658" t="s">
        <v>10853</v>
      </c>
      <c r="C3658" t="s">
        <v>10854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10855</v>
      </c>
      <c r="B3659" t="s">
        <v>10856</v>
      </c>
      <c r="C3659" t="s">
        <v>10857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10858</v>
      </c>
      <c r="B3660" t="s">
        <v>10859</v>
      </c>
      <c r="C3660" t="s">
        <v>10860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10861</v>
      </c>
      <c r="B3661" t="s">
        <v>10862</v>
      </c>
      <c r="C3661" t="s">
        <v>10863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10864</v>
      </c>
      <c r="B3662" t="s">
        <v>10865</v>
      </c>
      <c r="C3662" t="s">
        <v>10866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10867</v>
      </c>
      <c r="B3663" t="s">
        <v>10868</v>
      </c>
      <c r="C3663" t="s">
        <v>10869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10870</v>
      </c>
      <c r="B3664" t="s">
        <v>10871</v>
      </c>
      <c r="C3664" t="s">
        <v>10872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10873</v>
      </c>
      <c r="B3665" t="s">
        <v>10874</v>
      </c>
      <c r="C3665" t="s">
        <v>10875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10876</v>
      </c>
      <c r="B3666" t="s">
        <v>10877</v>
      </c>
      <c r="C3666" t="s">
        <v>10878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10879</v>
      </c>
      <c r="B3667" t="s">
        <v>10880</v>
      </c>
      <c r="C3667" t="s">
        <v>10881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10882</v>
      </c>
      <c r="B3668" t="s">
        <v>10883</v>
      </c>
      <c r="C3668" t="s">
        <v>10884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10885</v>
      </c>
      <c r="B3669" t="s">
        <v>10886</v>
      </c>
      <c r="C3669" t="s">
        <v>10887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10888</v>
      </c>
      <c r="B3670" t="s">
        <v>10889</v>
      </c>
      <c r="C3670" t="s">
        <v>10890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10891</v>
      </c>
      <c r="B3671" t="s">
        <v>10892</v>
      </c>
      <c r="C3671" t="s">
        <v>10893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10894</v>
      </c>
      <c r="B3672" t="s">
        <v>10895</v>
      </c>
      <c r="C3672" t="s">
        <v>10896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10897</v>
      </c>
      <c r="B3673" t="s">
        <v>10898</v>
      </c>
      <c r="C3673" t="s">
        <v>10899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10900</v>
      </c>
      <c r="B3674" t="s">
        <v>10901</v>
      </c>
      <c r="C3674" t="s">
        <v>10902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10903</v>
      </c>
      <c r="B3675" t="s">
        <v>10904</v>
      </c>
      <c r="C3675" t="s">
        <v>10905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10906</v>
      </c>
      <c r="B3676" t="s">
        <v>10907</v>
      </c>
      <c r="C3676" t="s">
        <v>10908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10909</v>
      </c>
      <c r="B3677" t="s">
        <v>10910</v>
      </c>
      <c r="C3677" t="s">
        <v>10911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10912</v>
      </c>
      <c r="B3678" t="s">
        <v>10913</v>
      </c>
      <c r="C3678" t="s">
        <v>10914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10915</v>
      </c>
      <c r="B3679" t="s">
        <v>10916</v>
      </c>
      <c r="C3679" t="s">
        <v>10917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10918</v>
      </c>
      <c r="B3680" t="s">
        <v>10919</v>
      </c>
      <c r="C3680" t="s">
        <v>10920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10921</v>
      </c>
      <c r="B3681" t="s">
        <v>10922</v>
      </c>
      <c r="C3681" t="s">
        <v>10923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10924</v>
      </c>
      <c r="B3682" t="s">
        <v>10925</v>
      </c>
      <c r="C3682" t="s">
        <v>10926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10927</v>
      </c>
      <c r="B3683" t="s">
        <v>10928</v>
      </c>
      <c r="C3683" t="s">
        <v>10929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10930</v>
      </c>
      <c r="B3684" t="s">
        <v>10931</v>
      </c>
      <c r="C3684" t="s">
        <v>10932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10933</v>
      </c>
      <c r="B3685" t="s">
        <v>10934</v>
      </c>
      <c r="C3685" t="s">
        <v>10935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10936</v>
      </c>
      <c r="B3686" t="s">
        <v>10937</v>
      </c>
      <c r="C3686" t="s">
        <v>10938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10939</v>
      </c>
      <c r="B3687" t="s">
        <v>10940</v>
      </c>
      <c r="C3687" t="s">
        <v>10941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10942</v>
      </c>
      <c r="B3688" t="s">
        <v>10943</v>
      </c>
      <c r="C3688" t="s">
        <v>10944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10945</v>
      </c>
      <c r="B3689" t="s">
        <v>10946</v>
      </c>
      <c r="C3689" t="s">
        <v>10947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10948</v>
      </c>
      <c r="B3690" t="s">
        <v>10949</v>
      </c>
      <c r="C3690" t="s">
        <v>10950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10951</v>
      </c>
      <c r="B3691" t="s">
        <v>10952</v>
      </c>
      <c r="C3691" t="s">
        <v>10953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10954</v>
      </c>
      <c r="B3692" t="s">
        <v>10955</v>
      </c>
      <c r="C3692" t="s">
        <v>10956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10957</v>
      </c>
      <c r="B3693" t="s">
        <v>10958</v>
      </c>
      <c r="C3693" t="s">
        <v>10959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10960</v>
      </c>
      <c r="B3694" t="s">
        <v>10961</v>
      </c>
      <c r="C3694" t="s">
        <v>10962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10963</v>
      </c>
      <c r="B3695" t="s">
        <v>10964</v>
      </c>
      <c r="C3695" t="s">
        <v>10965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10966</v>
      </c>
      <c r="B3696" t="s">
        <v>10967</v>
      </c>
      <c r="C3696" t="s">
        <v>10968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10969</v>
      </c>
      <c r="B3697" t="s">
        <v>10970</v>
      </c>
      <c r="C3697" t="s">
        <v>10971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10972</v>
      </c>
      <c r="B3698" t="s">
        <v>10973</v>
      </c>
      <c r="C3698" t="s">
        <v>10974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10975</v>
      </c>
      <c r="B3699" t="s">
        <v>10976</v>
      </c>
      <c r="C3699" t="s">
        <v>10977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10978</v>
      </c>
      <c r="B3700" t="s">
        <v>10979</v>
      </c>
      <c r="C3700" t="s">
        <v>10980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10981</v>
      </c>
      <c r="B3701" t="s">
        <v>10982</v>
      </c>
      <c r="C3701" t="s">
        <v>10983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10984</v>
      </c>
      <c r="B3702" t="s">
        <v>10982</v>
      </c>
      <c r="C3702" t="s">
        <v>10985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10986</v>
      </c>
      <c r="B3703" t="s">
        <v>10987</v>
      </c>
      <c r="C3703" t="s">
        <v>10988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10989</v>
      </c>
      <c r="B3704" t="s">
        <v>10990</v>
      </c>
      <c r="C3704" t="s">
        <v>10991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10992</v>
      </c>
      <c r="B3705" t="s">
        <v>10993</v>
      </c>
      <c r="C3705" t="s">
        <v>10994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10995</v>
      </c>
      <c r="B3706" t="s">
        <v>10996</v>
      </c>
      <c r="C3706" t="s">
        <v>10997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10998</v>
      </c>
      <c r="B3707" t="s">
        <v>10999</v>
      </c>
      <c r="C3707" t="s">
        <v>11000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11001</v>
      </c>
      <c r="B3708" t="s">
        <v>11002</v>
      </c>
      <c r="C3708" t="s">
        <v>11003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11004</v>
      </c>
      <c r="B3709" t="s">
        <v>11005</v>
      </c>
      <c r="C3709" t="s">
        <v>11006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11007</v>
      </c>
      <c r="B3710" t="s">
        <v>11008</v>
      </c>
      <c r="C3710" t="s">
        <v>11009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11010</v>
      </c>
      <c r="B3711" t="s">
        <v>11011</v>
      </c>
      <c r="C3711" t="s">
        <v>11012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11013</v>
      </c>
      <c r="B3712" t="s">
        <v>11014</v>
      </c>
      <c r="C3712" t="s">
        <v>11015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11016</v>
      </c>
      <c r="B3713" t="s">
        <v>11017</v>
      </c>
      <c r="C3713" t="s">
        <v>11018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11019</v>
      </c>
      <c r="B3714" t="s">
        <v>11020</v>
      </c>
      <c r="C3714" t="s">
        <v>11021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11022</v>
      </c>
      <c r="B3715" t="s">
        <v>11023</v>
      </c>
      <c r="C3715" t="s">
        <v>11024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11025</v>
      </c>
      <c r="B3716" t="s">
        <v>11026</v>
      </c>
      <c r="C3716" t="s">
        <v>11027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11028</v>
      </c>
      <c r="B3717" t="s">
        <v>11029</v>
      </c>
      <c r="C3717" t="s">
        <v>11030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11031</v>
      </c>
      <c r="B3718" t="s">
        <v>11032</v>
      </c>
      <c r="C3718" t="s">
        <v>11033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11034</v>
      </c>
      <c r="B3719" t="s">
        <v>11035</v>
      </c>
      <c r="C3719" t="s">
        <v>11036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11037</v>
      </c>
      <c r="B3720" t="s">
        <v>11038</v>
      </c>
      <c r="C3720" t="s">
        <v>11039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11040</v>
      </c>
      <c r="B3721" t="s">
        <v>11041</v>
      </c>
      <c r="C3721" t="s">
        <v>11042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11043</v>
      </c>
      <c r="B3722" t="s">
        <v>11044</v>
      </c>
      <c r="C3722" t="s">
        <v>11045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11046</v>
      </c>
      <c r="B3723" t="s">
        <v>11047</v>
      </c>
      <c r="C3723" t="s">
        <v>11048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11049</v>
      </c>
      <c r="B3724" t="s">
        <v>11050</v>
      </c>
      <c r="C3724" t="s">
        <v>11051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11052</v>
      </c>
      <c r="B3725" t="s">
        <v>11053</v>
      </c>
      <c r="C3725" t="s">
        <v>11054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11055</v>
      </c>
      <c r="B3726" t="s">
        <v>11056</v>
      </c>
      <c r="C3726" t="s">
        <v>11057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11058</v>
      </c>
      <c r="B3727" t="s">
        <v>11059</v>
      </c>
      <c r="C3727" t="s">
        <v>11060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11061</v>
      </c>
      <c r="B3728" t="s">
        <v>11062</v>
      </c>
      <c r="C3728" t="s">
        <v>11063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11064</v>
      </c>
      <c r="B3729" t="s">
        <v>11065</v>
      </c>
      <c r="C3729" t="s">
        <v>11066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11067</v>
      </c>
      <c r="B3730" t="s">
        <v>11065</v>
      </c>
      <c r="C3730" t="s">
        <v>11068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11069</v>
      </c>
      <c r="B3731" t="s">
        <v>11070</v>
      </c>
      <c r="C3731" t="s">
        <v>11071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11072</v>
      </c>
      <c r="B3732" t="s">
        <v>11073</v>
      </c>
      <c r="C3732" t="s">
        <v>11074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11075</v>
      </c>
      <c r="B3733" t="s">
        <v>11076</v>
      </c>
      <c r="C3733" t="s">
        <v>11077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11078</v>
      </c>
      <c r="B3734" t="s">
        <v>11079</v>
      </c>
      <c r="C3734" t="s">
        <v>11080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11081</v>
      </c>
      <c r="B3735" t="s">
        <v>11082</v>
      </c>
      <c r="C3735" t="s">
        <v>11083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11084</v>
      </c>
      <c r="B3736" t="s">
        <v>11085</v>
      </c>
      <c r="C3736" t="s">
        <v>11086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11087</v>
      </c>
      <c r="B3737" t="s">
        <v>11088</v>
      </c>
      <c r="C3737" t="s">
        <v>11089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11090</v>
      </c>
      <c r="B3738" t="s">
        <v>11091</v>
      </c>
      <c r="C3738" t="s">
        <v>11092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11093</v>
      </c>
      <c r="B3739" t="s">
        <v>11094</v>
      </c>
      <c r="C3739" t="s">
        <v>11095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11096</v>
      </c>
      <c r="B3740" t="s">
        <v>11097</v>
      </c>
      <c r="C3740" t="s">
        <v>11098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11099</v>
      </c>
      <c r="B3741" t="s">
        <v>11100</v>
      </c>
      <c r="C3741" t="s">
        <v>11101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11102</v>
      </c>
      <c r="B3742" t="s">
        <v>11103</v>
      </c>
      <c r="C3742" t="s">
        <v>11104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11105</v>
      </c>
      <c r="B3743" t="s">
        <v>11106</v>
      </c>
      <c r="C3743" t="s">
        <v>11107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11108</v>
      </c>
      <c r="B3744" t="s">
        <v>11109</v>
      </c>
      <c r="C3744" t="s">
        <v>11110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11111</v>
      </c>
      <c r="B3745" t="s">
        <v>11112</v>
      </c>
      <c r="C3745" t="s">
        <v>11113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11114</v>
      </c>
      <c r="B3746" t="s">
        <v>11115</v>
      </c>
      <c r="C3746" t="s">
        <v>11116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11117</v>
      </c>
      <c r="B3747" t="s">
        <v>11118</v>
      </c>
      <c r="C3747" t="s">
        <v>11119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11120</v>
      </c>
      <c r="B3748" t="s">
        <v>11121</v>
      </c>
      <c r="C3748" t="s">
        <v>11122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11123</v>
      </c>
      <c r="B3749" t="s">
        <v>11124</v>
      </c>
      <c r="C3749" t="s">
        <v>11125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11126</v>
      </c>
      <c r="B3750" t="s">
        <v>11127</v>
      </c>
      <c r="C3750" t="s">
        <v>11128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11129</v>
      </c>
      <c r="B3751" t="s">
        <v>11130</v>
      </c>
      <c r="C3751" t="s">
        <v>11131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11132</v>
      </c>
      <c r="B3752" t="s">
        <v>11133</v>
      </c>
      <c r="C3752" t="s">
        <v>11134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11135</v>
      </c>
      <c r="B3753" t="s">
        <v>11136</v>
      </c>
      <c r="C3753" t="s">
        <v>11137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11138</v>
      </c>
      <c r="B3754" t="s">
        <v>11139</v>
      </c>
      <c r="C3754" t="s">
        <v>11140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11141</v>
      </c>
      <c r="B3755" t="s">
        <v>11142</v>
      </c>
      <c r="C3755" t="s">
        <v>11143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11144</v>
      </c>
      <c r="B3756" t="s">
        <v>11145</v>
      </c>
      <c r="C3756" t="s">
        <v>11146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11147</v>
      </c>
      <c r="B3757" t="s">
        <v>11148</v>
      </c>
      <c r="C3757" t="s">
        <v>11149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11150</v>
      </c>
      <c r="B3758" t="s">
        <v>11151</v>
      </c>
      <c r="C3758" t="s">
        <v>11152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11153</v>
      </c>
      <c r="B3759" t="s">
        <v>11154</v>
      </c>
      <c r="C3759" t="s">
        <v>11155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11156</v>
      </c>
      <c r="B3760" t="s">
        <v>11157</v>
      </c>
      <c r="C3760" t="s">
        <v>11158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11159</v>
      </c>
      <c r="B3761" t="s">
        <v>11160</v>
      </c>
      <c r="C3761" t="s">
        <v>11161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11162</v>
      </c>
      <c r="B3762" t="s">
        <v>11163</v>
      </c>
      <c r="C3762" t="s">
        <v>11164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11165</v>
      </c>
      <c r="B3763" t="s">
        <v>11166</v>
      </c>
      <c r="C3763" t="s">
        <v>11167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11168</v>
      </c>
      <c r="B3764" t="s">
        <v>11169</v>
      </c>
      <c r="C3764" t="s">
        <v>11170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11171</v>
      </c>
      <c r="B3765" t="s">
        <v>11172</v>
      </c>
      <c r="C3765" t="s">
        <v>11173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11174</v>
      </c>
      <c r="B3766" t="s">
        <v>11175</v>
      </c>
      <c r="C3766" t="s">
        <v>11176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11177</v>
      </c>
      <c r="B3767" t="s">
        <v>11178</v>
      </c>
      <c r="C3767" t="s">
        <v>11179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11180</v>
      </c>
      <c r="B3768" t="s">
        <v>11181</v>
      </c>
      <c r="C3768" t="s">
        <v>11182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11183</v>
      </c>
      <c r="B3769" t="s">
        <v>11184</v>
      </c>
      <c r="C3769" t="s">
        <v>11185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11186</v>
      </c>
      <c r="B3770" t="s">
        <v>11187</v>
      </c>
      <c r="C3770" t="s">
        <v>11188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11189</v>
      </c>
      <c r="B3771" t="s">
        <v>11190</v>
      </c>
      <c r="C3771" t="s">
        <v>11191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11192</v>
      </c>
      <c r="B3772" t="s">
        <v>11193</v>
      </c>
      <c r="C3772" t="s">
        <v>11194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11195</v>
      </c>
      <c r="B3773" t="s">
        <v>11196</v>
      </c>
      <c r="C3773" t="s">
        <v>11197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11198</v>
      </c>
      <c r="B3774" t="s">
        <v>11199</v>
      </c>
      <c r="C3774" t="s">
        <v>11200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11201</v>
      </c>
      <c r="B3775" t="s">
        <v>11202</v>
      </c>
      <c r="C3775" t="s">
        <v>11203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11204</v>
      </c>
      <c r="B3776" t="s">
        <v>11205</v>
      </c>
      <c r="C3776" t="s">
        <v>11206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11207</v>
      </c>
      <c r="B3777" t="s">
        <v>11208</v>
      </c>
      <c r="C3777" t="s">
        <v>11209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11210</v>
      </c>
      <c r="B3778" t="s">
        <v>11208</v>
      </c>
      <c r="C3778" t="s">
        <v>11211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11212</v>
      </c>
      <c r="B3779" t="s">
        <v>11213</v>
      </c>
      <c r="C3779" t="s">
        <v>11214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11215</v>
      </c>
      <c r="B3780" t="s">
        <v>11216</v>
      </c>
      <c r="C3780" t="s">
        <v>11217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11218</v>
      </c>
      <c r="B3781" t="s">
        <v>11219</v>
      </c>
      <c r="C3781" t="s">
        <v>11220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11221</v>
      </c>
      <c r="B3782" t="s">
        <v>11222</v>
      </c>
      <c r="C3782" t="s">
        <v>11223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11224</v>
      </c>
      <c r="B3783" t="s">
        <v>11225</v>
      </c>
      <c r="C3783" t="s">
        <v>11226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11227</v>
      </c>
      <c r="B3784" t="s">
        <v>11228</v>
      </c>
      <c r="C3784" t="s">
        <v>11229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11230</v>
      </c>
      <c r="B3785" t="s">
        <v>11231</v>
      </c>
      <c r="C3785" t="s">
        <v>11232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11233</v>
      </c>
      <c r="B3786" t="s">
        <v>11234</v>
      </c>
      <c r="C3786" t="s">
        <v>11235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11236</v>
      </c>
      <c r="B3787" t="s">
        <v>11237</v>
      </c>
      <c r="C3787" t="s">
        <v>11238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11239</v>
      </c>
      <c r="B3788" t="s">
        <v>11240</v>
      </c>
      <c r="C3788" t="s">
        <v>11241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11242</v>
      </c>
      <c r="B3789" t="s">
        <v>11243</v>
      </c>
      <c r="C3789" t="s">
        <v>11244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11245</v>
      </c>
      <c r="B3790" t="s">
        <v>11246</v>
      </c>
      <c r="C3790" t="s">
        <v>11247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11248</v>
      </c>
      <c r="B3791" t="s">
        <v>11249</v>
      </c>
      <c r="C3791" t="s">
        <v>11250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11251</v>
      </c>
      <c r="B3792" t="s">
        <v>11252</v>
      </c>
      <c r="C3792" t="s">
        <v>11253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11254</v>
      </c>
      <c r="B3793" t="s">
        <v>11255</v>
      </c>
      <c r="C3793" t="s">
        <v>11256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11257</v>
      </c>
      <c r="B3794" t="s">
        <v>11258</v>
      </c>
      <c r="C3794" t="s">
        <v>11259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11260</v>
      </c>
      <c r="B3795" t="s">
        <v>11261</v>
      </c>
      <c r="C3795" t="s">
        <v>11262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11263</v>
      </c>
      <c r="B3796" t="s">
        <v>11264</v>
      </c>
      <c r="C3796" t="s">
        <v>11265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11266</v>
      </c>
      <c r="B3797" t="s">
        <v>11267</v>
      </c>
      <c r="C3797" t="s">
        <v>11268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11269</v>
      </c>
      <c r="B3798" t="s">
        <v>11270</v>
      </c>
      <c r="C3798" t="s">
        <v>11271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11272</v>
      </c>
      <c r="B3799" t="s">
        <v>11273</v>
      </c>
      <c r="C3799" t="s">
        <v>11274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11275</v>
      </c>
      <c r="B3800" t="s">
        <v>11276</v>
      </c>
      <c r="C3800" t="s">
        <v>11277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11278</v>
      </c>
      <c r="B3801" t="s">
        <v>11279</v>
      </c>
      <c r="C3801" t="s">
        <v>11280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11281</v>
      </c>
      <c r="B3802" t="s">
        <v>11282</v>
      </c>
      <c r="C3802" t="s">
        <v>11283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11284</v>
      </c>
      <c r="B3803" t="s">
        <v>11285</v>
      </c>
      <c r="C3803" t="s">
        <v>11286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11287</v>
      </c>
      <c r="B3804" t="s">
        <v>11288</v>
      </c>
      <c r="C3804" t="s">
        <v>11289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11290</v>
      </c>
      <c r="B3805" t="s">
        <v>11291</v>
      </c>
      <c r="C3805" t="s">
        <v>11292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11293</v>
      </c>
      <c r="B3806" t="s">
        <v>11294</v>
      </c>
      <c r="C3806" t="s">
        <v>11295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11296</v>
      </c>
      <c r="B3807" t="s">
        <v>11297</v>
      </c>
      <c r="C3807" t="s">
        <v>11298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11299</v>
      </c>
      <c r="B3808" t="s">
        <v>11300</v>
      </c>
      <c r="C3808" t="s">
        <v>11301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11302</v>
      </c>
      <c r="B3809" t="s">
        <v>11303</v>
      </c>
      <c r="C3809" t="s">
        <v>11304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11305</v>
      </c>
      <c r="B3810" t="s">
        <v>11306</v>
      </c>
      <c r="C3810" t="s">
        <v>11307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11308</v>
      </c>
      <c r="B3811" t="s">
        <v>11309</v>
      </c>
      <c r="C3811" t="s">
        <v>11310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11311</v>
      </c>
      <c r="B3812" t="s">
        <v>11312</v>
      </c>
      <c r="C3812" t="s">
        <v>11313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11314</v>
      </c>
      <c r="B3813" t="s">
        <v>11315</v>
      </c>
      <c r="C3813" t="s">
        <v>11316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11317</v>
      </c>
      <c r="B3814" t="s">
        <v>11318</v>
      </c>
      <c r="C3814" t="s">
        <v>11319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11320</v>
      </c>
      <c r="B3815" t="s">
        <v>11321</v>
      </c>
      <c r="C3815" t="s">
        <v>11322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11323</v>
      </c>
      <c r="B3816" t="s">
        <v>11324</v>
      </c>
      <c r="C3816" t="s">
        <v>11325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11326</v>
      </c>
      <c r="B3817" t="s">
        <v>11327</v>
      </c>
      <c r="C3817" t="s">
        <v>11328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11329</v>
      </c>
      <c r="B3818" t="s">
        <v>11330</v>
      </c>
      <c r="C3818" t="s">
        <v>11331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11332</v>
      </c>
      <c r="B3819" t="s">
        <v>11333</v>
      </c>
      <c r="C3819" t="s">
        <v>11334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11335</v>
      </c>
      <c r="B3820" t="s">
        <v>11336</v>
      </c>
      <c r="C3820" t="s">
        <v>11337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11338</v>
      </c>
      <c r="B3821" t="s">
        <v>11339</v>
      </c>
      <c r="C3821" t="s">
        <v>11340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11341</v>
      </c>
      <c r="B3822" t="s">
        <v>11342</v>
      </c>
      <c r="C3822" t="s">
        <v>11343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11344</v>
      </c>
      <c r="B3823" t="s">
        <v>11345</v>
      </c>
      <c r="C3823" t="s">
        <v>11346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11347</v>
      </c>
      <c r="B3824" t="s">
        <v>11348</v>
      </c>
      <c r="C3824" t="s">
        <v>11349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11350</v>
      </c>
      <c r="B3825" t="s">
        <v>11351</v>
      </c>
      <c r="C3825" t="s">
        <v>11352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11353</v>
      </c>
      <c r="B3826" t="s">
        <v>11354</v>
      </c>
      <c r="C3826" t="s">
        <v>11355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11356</v>
      </c>
      <c r="B3827" t="s">
        <v>11357</v>
      </c>
      <c r="C3827" t="s">
        <v>11358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11359</v>
      </c>
      <c r="B3828" t="s">
        <v>11360</v>
      </c>
      <c r="C3828" t="s">
        <v>11361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11362</v>
      </c>
      <c r="B3829" t="s">
        <v>11363</v>
      </c>
      <c r="C3829" t="s">
        <v>11364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11365</v>
      </c>
      <c r="B3830" t="s">
        <v>11366</v>
      </c>
      <c r="C3830" t="s">
        <v>11367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11368</v>
      </c>
      <c r="B3831" t="s">
        <v>11369</v>
      </c>
      <c r="C3831" t="s">
        <v>11370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11371</v>
      </c>
      <c r="B3832" t="s">
        <v>11372</v>
      </c>
      <c r="C3832" t="s">
        <v>11373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11374</v>
      </c>
      <c r="B3833" t="s">
        <v>11375</v>
      </c>
      <c r="C3833" t="s">
        <v>11376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11377</v>
      </c>
      <c r="B3834" t="s">
        <v>11378</v>
      </c>
      <c r="C3834" t="s">
        <v>11379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11380</v>
      </c>
      <c r="B3835" t="s">
        <v>11381</v>
      </c>
      <c r="C3835" t="s">
        <v>11382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11383</v>
      </c>
      <c r="B3836" t="s">
        <v>11384</v>
      </c>
      <c r="C3836" t="s">
        <v>11385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11386</v>
      </c>
      <c r="B3837" t="s">
        <v>11387</v>
      </c>
      <c r="C3837" t="s">
        <v>11388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11389</v>
      </c>
      <c r="B3838" t="s">
        <v>11390</v>
      </c>
      <c r="C3838" t="s">
        <v>11391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11392</v>
      </c>
      <c r="B3839" t="s">
        <v>11393</v>
      </c>
      <c r="C3839" t="s">
        <v>11394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11395</v>
      </c>
      <c r="B3840" t="s">
        <v>11396</v>
      </c>
      <c r="C3840" t="s">
        <v>11397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11398</v>
      </c>
      <c r="B3841" t="s">
        <v>11399</v>
      </c>
      <c r="C3841" t="s">
        <v>11400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11401</v>
      </c>
      <c r="B3842" t="s">
        <v>11402</v>
      </c>
      <c r="C3842" t="s">
        <v>11403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11404</v>
      </c>
      <c r="B3843" t="s">
        <v>11405</v>
      </c>
      <c r="C3843" t="s">
        <v>11406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11407</v>
      </c>
      <c r="B3844" t="s">
        <v>11408</v>
      </c>
      <c r="C3844" t="s">
        <v>11409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11410</v>
      </c>
      <c r="B3845" t="s">
        <v>11411</v>
      </c>
      <c r="C3845" t="s">
        <v>11412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11413</v>
      </c>
      <c r="B3846" t="s">
        <v>11414</v>
      </c>
      <c r="C3846" t="s">
        <v>11415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11416</v>
      </c>
      <c r="B3847" t="s">
        <v>11417</v>
      </c>
      <c r="C3847" t="s">
        <v>11418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11419</v>
      </c>
      <c r="B3848" t="s">
        <v>11420</v>
      </c>
      <c r="C3848" t="s">
        <v>11421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11422</v>
      </c>
      <c r="B3849" t="s">
        <v>11423</v>
      </c>
      <c r="C3849" t="s">
        <v>11424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11425</v>
      </c>
      <c r="B3850" t="s">
        <v>11426</v>
      </c>
      <c r="C3850" t="s">
        <v>11427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11428</v>
      </c>
      <c r="B3851" t="s">
        <v>11429</v>
      </c>
      <c r="C3851" t="s">
        <v>11430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11431</v>
      </c>
      <c r="B3852" t="s">
        <v>11432</v>
      </c>
      <c r="C3852" t="s">
        <v>11433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11434</v>
      </c>
      <c r="B3853" t="s">
        <v>11435</v>
      </c>
      <c r="C3853" t="s">
        <v>11436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11437</v>
      </c>
      <c r="B3854" t="s">
        <v>11438</v>
      </c>
      <c r="C3854" t="s">
        <v>11439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11440</v>
      </c>
      <c r="B3855" t="s">
        <v>11441</v>
      </c>
      <c r="C3855" t="s">
        <v>11442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11443</v>
      </c>
      <c r="B3856" t="s">
        <v>11444</v>
      </c>
      <c r="C3856" t="s">
        <v>11445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11446</v>
      </c>
      <c r="B3857" t="s">
        <v>11447</v>
      </c>
      <c r="C3857" t="s">
        <v>11448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11449</v>
      </c>
      <c r="B3858" t="s">
        <v>11450</v>
      </c>
      <c r="C3858" t="s">
        <v>11451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11452</v>
      </c>
      <c r="B3859" t="s">
        <v>11453</v>
      </c>
      <c r="C3859" t="s">
        <v>11454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11455</v>
      </c>
      <c r="B3860" t="s">
        <v>11456</v>
      </c>
      <c r="C3860" t="s">
        <v>11457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11458</v>
      </c>
      <c r="B3861" t="s">
        <v>11459</v>
      </c>
      <c r="C3861" t="s">
        <v>11460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11461</v>
      </c>
      <c r="B3862" t="s">
        <v>11462</v>
      </c>
      <c r="C3862" t="s">
        <v>11463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11464</v>
      </c>
      <c r="B3863" t="s">
        <v>11465</v>
      </c>
      <c r="C3863" t="s">
        <v>11466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11467</v>
      </c>
      <c r="B3864" t="s">
        <v>11468</v>
      </c>
      <c r="C3864" t="s">
        <v>11469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11470</v>
      </c>
      <c r="B3865" t="s">
        <v>11471</v>
      </c>
      <c r="C3865" t="s">
        <v>11472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11473</v>
      </c>
      <c r="B3866" t="s">
        <v>11474</v>
      </c>
      <c r="C3866" t="s">
        <v>11475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11476</v>
      </c>
      <c r="B3867" t="s">
        <v>11477</v>
      </c>
      <c r="C3867" t="s">
        <v>11478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11479</v>
      </c>
      <c r="B3868" t="s">
        <v>5483</v>
      </c>
      <c r="C3868" t="s">
        <v>11480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11481</v>
      </c>
      <c r="B3869" t="s">
        <v>11482</v>
      </c>
      <c r="C3869" t="s">
        <v>11483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11484</v>
      </c>
      <c r="B3870" t="s">
        <v>11485</v>
      </c>
      <c r="C3870" t="s">
        <v>11486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11487</v>
      </c>
      <c r="B3871" t="s">
        <v>11488</v>
      </c>
      <c r="C3871" t="s">
        <v>11489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11490</v>
      </c>
      <c r="B3872" t="s">
        <v>11491</v>
      </c>
      <c r="C3872" t="s">
        <v>11492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11493</v>
      </c>
      <c r="B3873" t="s">
        <v>11494</v>
      </c>
      <c r="C3873" t="s">
        <v>11495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11496</v>
      </c>
      <c r="B3874" t="s">
        <v>11497</v>
      </c>
      <c r="C3874" t="s">
        <v>11498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11499</v>
      </c>
      <c r="B3875" t="s">
        <v>11500</v>
      </c>
      <c r="C3875" t="s">
        <v>11501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11502</v>
      </c>
      <c r="B3876" t="s">
        <v>11503</v>
      </c>
      <c r="C3876" t="s">
        <v>11504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11505</v>
      </c>
      <c r="B3877" t="s">
        <v>11506</v>
      </c>
      <c r="C3877" t="s">
        <v>11507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11508</v>
      </c>
      <c r="B3878" t="s">
        <v>11509</v>
      </c>
      <c r="C3878" t="s">
        <v>11510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11511</v>
      </c>
      <c r="B3879" t="s">
        <v>11512</v>
      </c>
      <c r="C3879" t="s">
        <v>11513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11514</v>
      </c>
      <c r="B3880" t="s">
        <v>11515</v>
      </c>
      <c r="C3880" t="s">
        <v>11516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11517</v>
      </c>
      <c r="B3881" t="s">
        <v>11518</v>
      </c>
      <c r="C3881" t="s">
        <v>11519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11520</v>
      </c>
      <c r="B3882" t="s">
        <v>11521</v>
      </c>
      <c r="C3882" t="s">
        <v>11522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11523</v>
      </c>
      <c r="B3883" t="s">
        <v>11524</v>
      </c>
      <c r="C3883" t="s">
        <v>11525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11526</v>
      </c>
      <c r="B3884" t="s">
        <v>11527</v>
      </c>
      <c r="C3884" t="s">
        <v>11528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11529</v>
      </c>
      <c r="B3885" t="s">
        <v>11530</v>
      </c>
      <c r="C3885" t="s">
        <v>11531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11532</v>
      </c>
      <c r="B3886" t="s">
        <v>11533</v>
      </c>
      <c r="C3886" t="s">
        <v>11534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11535</v>
      </c>
      <c r="B3887" t="s">
        <v>11536</v>
      </c>
      <c r="C3887" t="s">
        <v>11537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11538</v>
      </c>
      <c r="B3888" t="s">
        <v>11539</v>
      </c>
      <c r="C3888" t="s">
        <v>11540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11541</v>
      </c>
      <c r="B3889" t="s">
        <v>11542</v>
      </c>
      <c r="C3889" t="s">
        <v>11543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11544</v>
      </c>
      <c r="B3890" t="s">
        <v>11545</v>
      </c>
      <c r="C3890" t="s">
        <v>11546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11547</v>
      </c>
      <c r="B3891" t="s">
        <v>11548</v>
      </c>
      <c r="C3891" t="s">
        <v>11546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11549</v>
      </c>
      <c r="B3892" t="s">
        <v>11550</v>
      </c>
      <c r="C3892" t="s">
        <v>11546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11551</v>
      </c>
      <c r="B3893" t="s">
        <v>11552</v>
      </c>
      <c r="C3893" t="s">
        <v>11553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11554</v>
      </c>
      <c r="B3894" t="s">
        <v>11555</v>
      </c>
      <c r="C3894" t="s">
        <v>11556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11557</v>
      </c>
      <c r="B3895" t="s">
        <v>11558</v>
      </c>
      <c r="C3895" t="s">
        <v>11559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11560</v>
      </c>
      <c r="B3896" t="s">
        <v>11561</v>
      </c>
      <c r="C3896" t="s">
        <v>11562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11563</v>
      </c>
      <c r="B3897" t="s">
        <v>11564</v>
      </c>
      <c r="C3897" t="s">
        <v>11565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11566</v>
      </c>
      <c r="B3898" t="s">
        <v>11567</v>
      </c>
      <c r="C3898" t="s">
        <v>11568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11569</v>
      </c>
      <c r="B3899" t="s">
        <v>11570</v>
      </c>
      <c r="C3899" t="s">
        <v>11571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11572</v>
      </c>
      <c r="B3900" t="s">
        <v>11573</v>
      </c>
      <c r="C3900" t="s">
        <v>11574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11575</v>
      </c>
      <c r="B3901" t="s">
        <v>11576</v>
      </c>
      <c r="C3901" t="s">
        <v>11577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11578</v>
      </c>
      <c r="B3902" t="s">
        <v>11576</v>
      </c>
      <c r="C3902" t="s">
        <v>11579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11580</v>
      </c>
      <c r="B3903" t="s">
        <v>11581</v>
      </c>
      <c r="C3903" t="s">
        <v>11582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11583</v>
      </c>
      <c r="B3904" t="s">
        <v>11584</v>
      </c>
      <c r="C3904" t="s">
        <v>11585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11586</v>
      </c>
      <c r="B3905" t="s">
        <v>11587</v>
      </c>
      <c r="C3905" t="s">
        <v>11588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11589</v>
      </c>
      <c r="B3906" t="s">
        <v>11590</v>
      </c>
      <c r="C3906" t="s">
        <v>11591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11592</v>
      </c>
      <c r="B3907" t="s">
        <v>11593</v>
      </c>
      <c r="C3907" t="s">
        <v>11594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11595</v>
      </c>
      <c r="B3908" t="s">
        <v>11596</v>
      </c>
      <c r="C3908" t="s">
        <v>11597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11598</v>
      </c>
      <c r="B3909" t="s">
        <v>11599</v>
      </c>
      <c r="C3909" t="s">
        <v>11600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11601</v>
      </c>
      <c r="B3910" t="s">
        <v>11602</v>
      </c>
      <c r="C3910" t="s">
        <v>11603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11604</v>
      </c>
      <c r="B3911" t="s">
        <v>11605</v>
      </c>
      <c r="C3911" t="s">
        <v>11606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11607</v>
      </c>
      <c r="B3912" t="s">
        <v>11608</v>
      </c>
      <c r="C3912" t="s">
        <v>11609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11610</v>
      </c>
      <c r="B3913" t="s">
        <v>11611</v>
      </c>
      <c r="C3913" t="s">
        <v>11612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11613</v>
      </c>
      <c r="B3914" t="s">
        <v>11614</v>
      </c>
      <c r="C3914" t="s">
        <v>11615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11616</v>
      </c>
      <c r="B3915" t="s">
        <v>11617</v>
      </c>
      <c r="C3915" t="s">
        <v>11618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11619</v>
      </c>
      <c r="B3916" t="s">
        <v>11620</v>
      </c>
      <c r="C3916" t="s">
        <v>11621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11622</v>
      </c>
      <c r="B3917" t="s">
        <v>11623</v>
      </c>
      <c r="C3917" t="s">
        <v>11624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11625</v>
      </c>
      <c r="B3918" t="s">
        <v>11626</v>
      </c>
      <c r="C3918" t="s">
        <v>11627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11628</v>
      </c>
      <c r="B3919" t="s">
        <v>11629</v>
      </c>
      <c r="C3919" t="s">
        <v>11630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11631</v>
      </c>
      <c r="B3920" t="s">
        <v>11632</v>
      </c>
      <c r="C3920" t="s">
        <v>11633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11634</v>
      </c>
      <c r="B3921" t="s">
        <v>11635</v>
      </c>
      <c r="C3921" t="s">
        <v>11636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11637</v>
      </c>
      <c r="B3922" t="s">
        <v>11638</v>
      </c>
      <c r="C3922" t="s">
        <v>11639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11640</v>
      </c>
      <c r="B3923" t="s">
        <v>11641</v>
      </c>
      <c r="C3923" t="s">
        <v>11642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11643</v>
      </c>
      <c r="B3924" t="s">
        <v>11644</v>
      </c>
      <c r="C3924" t="s">
        <v>11645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11646</v>
      </c>
      <c r="B3925" t="s">
        <v>11647</v>
      </c>
      <c r="C3925" t="s">
        <v>11648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11649</v>
      </c>
      <c r="B3926" t="s">
        <v>11650</v>
      </c>
      <c r="C3926" t="s">
        <v>11651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11652</v>
      </c>
      <c r="B3927" t="s">
        <v>11653</v>
      </c>
      <c r="C3927" t="s">
        <v>11654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11655</v>
      </c>
      <c r="B3928" t="s">
        <v>11656</v>
      </c>
      <c r="C3928" t="s">
        <v>11657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11658</v>
      </c>
      <c r="B3929" t="s">
        <v>11659</v>
      </c>
      <c r="C3929" t="s">
        <v>11660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11661</v>
      </c>
      <c r="B3930" t="s">
        <v>11662</v>
      </c>
      <c r="C3930" t="s">
        <v>11663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11664</v>
      </c>
      <c r="B3931" t="s">
        <v>11665</v>
      </c>
      <c r="C3931" t="s">
        <v>11666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11667</v>
      </c>
      <c r="B3932" t="s">
        <v>11668</v>
      </c>
      <c r="C3932" t="s">
        <v>11669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11670</v>
      </c>
      <c r="B3933" t="s">
        <v>11671</v>
      </c>
      <c r="C3933" t="s">
        <v>11672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11673</v>
      </c>
      <c r="B3934" t="s">
        <v>11674</v>
      </c>
      <c r="C3934" t="s">
        <v>11675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11676</v>
      </c>
      <c r="B3935" t="s">
        <v>11677</v>
      </c>
      <c r="C3935" t="s">
        <v>11678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11679</v>
      </c>
      <c r="B3936" t="s">
        <v>11680</v>
      </c>
      <c r="C3936" t="s">
        <v>11681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11682</v>
      </c>
      <c r="B3937" t="s">
        <v>11683</v>
      </c>
      <c r="C3937" t="s">
        <v>11684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11685</v>
      </c>
      <c r="B3938" t="s">
        <v>11686</v>
      </c>
      <c r="C3938" t="s">
        <v>11687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11688</v>
      </c>
      <c r="B3939" t="s">
        <v>11689</v>
      </c>
      <c r="C3939" t="s">
        <v>11690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11691</v>
      </c>
      <c r="B3940" t="s">
        <v>11692</v>
      </c>
      <c r="C3940" t="s">
        <v>11693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11694</v>
      </c>
      <c r="B3941" t="s">
        <v>11695</v>
      </c>
      <c r="C3941" t="s">
        <v>11696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11697</v>
      </c>
      <c r="B3942" t="s">
        <v>11698</v>
      </c>
      <c r="C3942" t="s">
        <v>11699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11700</v>
      </c>
      <c r="B3943" t="s">
        <v>11701</v>
      </c>
      <c r="C3943" t="s">
        <v>11702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11703</v>
      </c>
      <c r="B3944" t="s">
        <v>11704</v>
      </c>
      <c r="C3944" t="s">
        <v>11705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11706</v>
      </c>
      <c r="B3945" t="s">
        <v>11707</v>
      </c>
      <c r="C3945" t="s">
        <v>11708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11709</v>
      </c>
      <c r="B3946" t="s">
        <v>11710</v>
      </c>
      <c r="C3946" t="s">
        <v>11711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11712</v>
      </c>
      <c r="B3947" t="s">
        <v>11713</v>
      </c>
      <c r="C3947" t="s">
        <v>11714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11715</v>
      </c>
      <c r="B3948" t="s">
        <v>11716</v>
      </c>
      <c r="C3948" t="s">
        <v>11717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11718</v>
      </c>
      <c r="B3949" t="s">
        <v>11719</v>
      </c>
      <c r="C3949" t="s">
        <v>11720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11721</v>
      </c>
      <c r="B3950" t="s">
        <v>11722</v>
      </c>
      <c r="C3950" t="s">
        <v>11723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11724</v>
      </c>
      <c r="B3951" t="s">
        <v>11725</v>
      </c>
      <c r="C3951" t="s">
        <v>11726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11727</v>
      </c>
      <c r="B3952" t="s">
        <v>11728</v>
      </c>
      <c r="C3952" t="s">
        <v>11729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11730</v>
      </c>
      <c r="B3953" t="s">
        <v>11731</v>
      </c>
      <c r="C3953" t="s">
        <v>11732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11733</v>
      </c>
      <c r="B3954" t="s">
        <v>11734</v>
      </c>
      <c r="C3954" t="s">
        <v>11735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11736</v>
      </c>
      <c r="B3955" t="s">
        <v>11737</v>
      </c>
      <c r="C3955" t="s">
        <v>11738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11739</v>
      </c>
      <c r="B3956" t="s">
        <v>11740</v>
      </c>
      <c r="C3956" t="s">
        <v>11741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11742</v>
      </c>
      <c r="B3957" t="s">
        <v>11740</v>
      </c>
      <c r="C3957" t="s">
        <v>11743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11744</v>
      </c>
      <c r="B3958" t="s">
        <v>11745</v>
      </c>
      <c r="C3958" t="s">
        <v>11746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11747</v>
      </c>
      <c r="B3959" t="s">
        <v>11748</v>
      </c>
      <c r="C3959" t="s">
        <v>11749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11750</v>
      </c>
      <c r="B3960" t="s">
        <v>11751</v>
      </c>
      <c r="C3960" t="s">
        <v>11752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11753</v>
      </c>
      <c r="B3961" t="s">
        <v>11754</v>
      </c>
      <c r="C3961" t="s">
        <v>11755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11756</v>
      </c>
      <c r="B3962" t="s">
        <v>11757</v>
      </c>
      <c r="C3962" t="s">
        <v>11758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11759</v>
      </c>
      <c r="B3963" t="s">
        <v>11760</v>
      </c>
      <c r="C3963" t="s">
        <v>11761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11762</v>
      </c>
      <c r="B3964" t="s">
        <v>11763</v>
      </c>
      <c r="C3964" t="s">
        <v>11764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11765</v>
      </c>
      <c r="B3965" t="s">
        <v>11766</v>
      </c>
      <c r="C3965" t="s">
        <v>11767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11768</v>
      </c>
      <c r="B3966" t="s">
        <v>11766</v>
      </c>
      <c r="C3966" t="s">
        <v>11769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11770</v>
      </c>
      <c r="B3967" t="s">
        <v>11771</v>
      </c>
      <c r="C3967" t="s">
        <v>11772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11773</v>
      </c>
      <c r="B3968" t="s">
        <v>11774</v>
      </c>
      <c r="C3968" t="s">
        <v>11775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11776</v>
      </c>
      <c r="B3969" t="s">
        <v>11777</v>
      </c>
      <c r="C3969" t="s">
        <v>11778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11779</v>
      </c>
      <c r="B3970" t="s">
        <v>11780</v>
      </c>
      <c r="C3970" t="s">
        <v>11781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11782</v>
      </c>
      <c r="B3971" t="s">
        <v>11783</v>
      </c>
      <c r="C3971" t="s">
        <v>11784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11785</v>
      </c>
      <c r="B3972" t="s">
        <v>11786</v>
      </c>
      <c r="C3972" t="s">
        <v>11787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11788</v>
      </c>
      <c r="B3973" t="s">
        <v>11789</v>
      </c>
      <c r="C3973" t="s">
        <v>11790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11791</v>
      </c>
      <c r="B3974" t="s">
        <v>11792</v>
      </c>
      <c r="C3974" t="s">
        <v>11793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11794</v>
      </c>
      <c r="B3975" t="s">
        <v>11795</v>
      </c>
      <c r="C3975" t="s">
        <v>11796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11797</v>
      </c>
      <c r="B3976" t="s">
        <v>11798</v>
      </c>
      <c r="C3976" t="s">
        <v>11799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11800</v>
      </c>
      <c r="B3977" t="s">
        <v>11801</v>
      </c>
      <c r="C3977" t="s">
        <v>11802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11803</v>
      </c>
      <c r="B3978" t="s">
        <v>11804</v>
      </c>
      <c r="C3978" t="s">
        <v>11805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11806</v>
      </c>
      <c r="B3979" t="s">
        <v>11807</v>
      </c>
      <c r="C3979" t="s">
        <v>11808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11809</v>
      </c>
      <c r="B3980" t="s">
        <v>11810</v>
      </c>
      <c r="C3980" t="s">
        <v>11811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11812</v>
      </c>
      <c r="B3981" t="s">
        <v>11813</v>
      </c>
      <c r="C3981" t="s">
        <v>11814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11815</v>
      </c>
      <c r="B3982" t="s">
        <v>11816</v>
      </c>
      <c r="C3982" t="s">
        <v>11817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11818</v>
      </c>
      <c r="B3983" t="s">
        <v>11819</v>
      </c>
      <c r="C3983" t="s">
        <v>11820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11821</v>
      </c>
      <c r="B3984" t="s">
        <v>11822</v>
      </c>
      <c r="C3984" t="s">
        <v>11823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11824</v>
      </c>
      <c r="B3985" t="s">
        <v>11825</v>
      </c>
      <c r="C3985" t="s">
        <v>11826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11827</v>
      </c>
      <c r="B3986" t="s">
        <v>11828</v>
      </c>
      <c r="C3986" t="s">
        <v>11829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11830</v>
      </c>
      <c r="B3987" t="s">
        <v>11831</v>
      </c>
      <c r="C3987" t="s">
        <v>11832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11833</v>
      </c>
      <c r="B3988" t="s">
        <v>11834</v>
      </c>
      <c r="C3988" t="s">
        <v>11835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11836</v>
      </c>
      <c r="B3989" t="s">
        <v>11837</v>
      </c>
      <c r="C3989" t="s">
        <v>11838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11839</v>
      </c>
      <c r="B3990" t="s">
        <v>11840</v>
      </c>
      <c r="C3990" t="s">
        <v>11841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11842</v>
      </c>
      <c r="B3991" t="s">
        <v>11843</v>
      </c>
      <c r="C3991" t="s">
        <v>11844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5" priority="6" operator="containsText" text="TRUE">
      <formula>NOT(ISERROR(SEARCH("TRUE",G1)))</formula>
    </cfRule>
  </conditionalFormatting>
  <conditionalFormatting sqref="D1:F2 D2125:F1048576 D4:F2123">
    <cfRule type="containsText" dxfId="4" priority="5" operator="containsText" text="TRUE">
      <formula>NOT(ISERROR(SEARCH("TRUE",D1)))</formula>
    </cfRule>
  </conditionalFormatting>
  <conditionalFormatting sqref="G2124">
    <cfRule type="containsText" dxfId="3" priority="4" operator="containsText" text="TRUE">
      <formula>NOT(ISERROR(SEARCH("TRUE",G2124)))</formula>
    </cfRule>
  </conditionalFormatting>
  <conditionalFormatting sqref="D2124:F2124">
    <cfRule type="containsText" dxfId="2" priority="3" operator="containsText" text="TRUE">
      <formula>NOT(ISERROR(SEARCH("TRUE",D2124)))</formula>
    </cfRule>
  </conditionalFormatting>
  <conditionalFormatting sqref="G3">
    <cfRule type="containsText" dxfId="1" priority="2" operator="containsText" text="TRUE">
      <formula>NOT(ISERROR(SEARCH("TRUE",G3)))</formula>
    </cfRule>
  </conditionalFormatting>
  <conditionalFormatting sqref="D3:F3">
    <cfRule type="containsText" dxfId="0" priority="1" operator="containsText" text="TRUE">
      <formula>NOT(ISERROR(SEARCH("TRUE",D3)))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6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0.90625" customWidth="1"/>
    <col min="2" max="2" width="17.6328125" customWidth="1"/>
    <col min="3" max="3" width="21.26953125" customWidth="1"/>
    <col min="4" max="4" width="8.7265625" customWidth="1"/>
    <col min="5" max="6" width="9.6328125" customWidth="1"/>
    <col min="7" max="7" width="6.7265625" customWidth="1"/>
    <col min="8" max="8" width="7.6328125" customWidth="1"/>
    <col min="9" max="11" width="7.81640625" customWidth="1"/>
    <col min="12" max="12" width="7.6328125" customWidth="1"/>
    <col min="13" max="13" width="7.81640625" bestFit="1" customWidth="1"/>
    <col min="14" max="14" width="8.7265625" customWidth="1"/>
    <col min="15" max="16" width="9.6328125" customWidth="1"/>
    <col min="17" max="17" width="9.54296875" customWidth="1"/>
  </cols>
  <sheetData>
    <row r="1" spans="2:17" ht="9.75" customHeight="1" x14ac:dyDescent="0.35">
      <c r="B1" s="37"/>
      <c r="C1" s="38"/>
      <c r="D1" s="37"/>
      <c r="E1" s="37"/>
      <c r="F1" s="37"/>
      <c r="G1" s="39"/>
      <c r="H1" s="39"/>
      <c r="I1" s="40"/>
      <c r="J1" s="37"/>
      <c r="K1" s="37"/>
      <c r="L1" s="37"/>
      <c r="M1" s="37"/>
      <c r="N1" s="37"/>
      <c r="O1" s="37"/>
      <c r="P1" s="37"/>
      <c r="Q1" s="37"/>
    </row>
    <row r="2" spans="2:17" ht="15" customHeight="1" x14ac:dyDescent="0.35">
      <c r="B2" t="str">
        <f>CONCATENATE("Team: KCI", "  Crew: ", Woody!B3, "  Project: ", Woody!B1, "  Plot: ", Woody!B2, "  Date: ", TEXT(Woody!B4,"ddd mm/dd/yy"), "  Ares (100 sq m): ", Woody!C2/100)</f>
        <v>Team: KCI  Crew: SJ, JS  Project: TEST PROJECT  Plot: VP1  Date: Thu 05/16/19  Ares (100 sq m): 2</v>
      </c>
    </row>
    <row r="3" spans="2:17" ht="6.65" customHeight="1" thickBot="1" x14ac:dyDescent="0.4"/>
    <row r="4" spans="2:17" ht="15" customHeight="1" thickBot="1" x14ac:dyDescent="0.4">
      <c r="B4" s="160" t="s">
        <v>11877</v>
      </c>
      <c r="C4" s="161"/>
      <c r="D4" s="162" t="s">
        <v>11878</v>
      </c>
      <c r="E4" s="163"/>
      <c r="F4" s="164"/>
      <c r="G4" s="165" t="s">
        <v>11879</v>
      </c>
      <c r="H4" s="166"/>
      <c r="I4" s="167" t="s">
        <v>11880</v>
      </c>
      <c r="J4" s="168"/>
      <c r="K4" s="168"/>
      <c r="L4" s="168"/>
      <c r="M4" s="168"/>
      <c r="N4" s="168"/>
      <c r="O4" s="168"/>
      <c r="P4" s="168"/>
      <c r="Q4" s="169"/>
    </row>
    <row r="5" spans="2:17" ht="33.5" customHeight="1" thickBot="1" x14ac:dyDescent="0.4">
      <c r="B5" s="41" t="s">
        <v>2</v>
      </c>
      <c r="C5" s="42" t="s">
        <v>1</v>
      </c>
      <c r="D5" s="43" t="s">
        <v>11881</v>
      </c>
      <c r="E5" s="44" t="s">
        <v>11882</v>
      </c>
      <c r="F5" s="45" t="s">
        <v>11883</v>
      </c>
      <c r="G5" s="43" t="s">
        <v>11884</v>
      </c>
      <c r="H5" s="45" t="s">
        <v>11885</v>
      </c>
      <c r="I5" s="46" t="s">
        <v>11886</v>
      </c>
      <c r="J5" s="47" t="s">
        <v>11887</v>
      </c>
      <c r="K5" s="47" t="s">
        <v>11888</v>
      </c>
      <c r="L5" s="47" t="s">
        <v>11889</v>
      </c>
      <c r="M5" s="47" t="s">
        <v>11890</v>
      </c>
      <c r="N5" s="47" t="s">
        <v>11891</v>
      </c>
      <c r="O5" s="47" t="s">
        <v>11892</v>
      </c>
      <c r="P5" s="47" t="s">
        <v>11893</v>
      </c>
      <c r="Q5" s="48" t="s">
        <v>11894</v>
      </c>
    </row>
    <row r="6" spans="2:17" ht="15" customHeight="1" x14ac:dyDescent="0.35">
      <c r="B6" s="49"/>
      <c r="C6" s="50"/>
      <c r="D6" s="51"/>
      <c r="E6" s="52"/>
      <c r="F6" s="53"/>
      <c r="G6" s="51"/>
      <c r="H6" s="53"/>
      <c r="I6" s="54"/>
      <c r="J6" s="52"/>
      <c r="K6" s="52"/>
      <c r="L6" s="52"/>
      <c r="M6" s="52"/>
      <c r="N6" s="52"/>
      <c r="O6" s="52"/>
      <c r="P6" s="52"/>
      <c r="Q6" s="53"/>
    </row>
    <row r="7" spans="2:17" ht="15" customHeight="1" x14ac:dyDescent="0.35">
      <c r="B7" s="55"/>
      <c r="C7" s="56"/>
      <c r="D7" s="57"/>
      <c r="E7" s="58"/>
      <c r="F7" s="59"/>
      <c r="G7" s="57"/>
      <c r="H7" s="59"/>
      <c r="I7" s="60"/>
      <c r="J7" s="58"/>
      <c r="K7" s="58"/>
      <c r="L7" s="58"/>
      <c r="M7" s="58"/>
      <c r="N7" s="58"/>
      <c r="O7" s="58"/>
      <c r="P7" s="58"/>
      <c r="Q7" s="59"/>
    </row>
    <row r="8" spans="2:17" ht="15" customHeight="1" x14ac:dyDescent="0.35">
      <c r="B8" s="55"/>
      <c r="C8" s="56"/>
      <c r="D8" s="57"/>
      <c r="E8" s="58"/>
      <c r="F8" s="59"/>
      <c r="G8" s="57"/>
      <c r="H8" s="59"/>
      <c r="I8" s="60"/>
      <c r="J8" s="58"/>
      <c r="K8" s="58"/>
      <c r="L8" s="58"/>
      <c r="M8" s="58"/>
      <c r="N8" s="58"/>
      <c r="O8" s="58"/>
      <c r="P8" s="58"/>
      <c r="Q8" s="59"/>
    </row>
    <row r="9" spans="2:17" ht="15" customHeight="1" x14ac:dyDescent="0.35">
      <c r="B9" s="55"/>
      <c r="C9" s="56"/>
      <c r="D9" s="57"/>
      <c r="E9" s="58"/>
      <c r="F9" s="59"/>
      <c r="G9" s="57"/>
      <c r="H9" s="59"/>
      <c r="I9" s="60"/>
      <c r="J9" s="58"/>
      <c r="K9" s="58"/>
      <c r="L9" s="58"/>
      <c r="M9" s="58"/>
      <c r="N9" s="58"/>
      <c r="O9" s="58"/>
      <c r="P9" s="58"/>
      <c r="Q9" s="59"/>
    </row>
    <row r="10" spans="2:17" ht="15" customHeight="1" x14ac:dyDescent="0.35">
      <c r="B10" s="55"/>
      <c r="C10" s="56"/>
      <c r="D10" s="57"/>
      <c r="E10" s="58"/>
      <c r="F10" s="59"/>
      <c r="G10" s="57"/>
      <c r="H10" s="59"/>
      <c r="I10" s="60"/>
      <c r="J10" s="58"/>
      <c r="K10" s="58"/>
      <c r="L10" s="58"/>
      <c r="M10" s="58"/>
      <c r="N10" s="58"/>
      <c r="O10" s="58"/>
      <c r="P10" s="58"/>
      <c r="Q10" s="59"/>
    </row>
    <row r="11" spans="2:17" ht="15" customHeight="1" x14ac:dyDescent="0.35">
      <c r="B11" s="55"/>
      <c r="C11" s="56"/>
      <c r="D11" s="57"/>
      <c r="E11" s="58"/>
      <c r="F11" s="59"/>
      <c r="G11" s="57"/>
      <c r="H11" s="59"/>
      <c r="I11" s="60"/>
      <c r="J11" s="58"/>
      <c r="K11" s="58"/>
      <c r="L11" s="58"/>
      <c r="M11" s="58"/>
      <c r="N11" s="58"/>
      <c r="O11" s="58"/>
      <c r="P11" s="58"/>
      <c r="Q11" s="59"/>
    </row>
    <row r="12" spans="2:17" ht="15" customHeight="1" x14ac:dyDescent="0.35">
      <c r="B12" s="55"/>
      <c r="C12" s="56"/>
      <c r="D12" s="57"/>
      <c r="E12" s="58"/>
      <c r="F12" s="59"/>
      <c r="G12" s="57"/>
      <c r="H12" s="59"/>
      <c r="I12" s="60"/>
      <c r="J12" s="58"/>
      <c r="K12" s="58"/>
      <c r="L12" s="58"/>
      <c r="M12" s="58"/>
      <c r="N12" s="58"/>
      <c r="O12" s="58"/>
      <c r="P12" s="58"/>
      <c r="Q12" s="59"/>
    </row>
    <row r="13" spans="2:17" ht="15" customHeight="1" x14ac:dyDescent="0.35">
      <c r="B13" s="55"/>
      <c r="C13" s="56"/>
      <c r="D13" s="57"/>
      <c r="E13" s="58"/>
      <c r="F13" s="59"/>
      <c r="G13" s="57"/>
      <c r="H13" s="59"/>
      <c r="I13" s="60"/>
      <c r="J13" s="58"/>
      <c r="K13" s="58"/>
      <c r="L13" s="58"/>
      <c r="M13" s="58"/>
      <c r="N13" s="58"/>
      <c r="O13" s="58"/>
      <c r="P13" s="58"/>
      <c r="Q13" s="59"/>
    </row>
    <row r="14" spans="2:17" ht="15" customHeight="1" x14ac:dyDescent="0.35">
      <c r="B14" s="55"/>
      <c r="C14" s="56"/>
      <c r="D14" s="57"/>
      <c r="E14" s="58"/>
      <c r="F14" s="59"/>
      <c r="G14" s="57"/>
      <c r="H14" s="59"/>
      <c r="I14" s="60"/>
      <c r="J14" s="58"/>
      <c r="K14" s="58"/>
      <c r="L14" s="58"/>
      <c r="M14" s="58"/>
      <c r="N14" s="58"/>
      <c r="O14" s="58"/>
      <c r="P14" s="58"/>
      <c r="Q14" s="59"/>
    </row>
    <row r="15" spans="2:17" ht="15" customHeight="1" x14ac:dyDescent="0.35">
      <c r="B15" s="55"/>
      <c r="C15" s="56"/>
      <c r="D15" s="57"/>
      <c r="E15" s="58"/>
      <c r="F15" s="59"/>
      <c r="G15" s="57"/>
      <c r="H15" s="59"/>
      <c r="I15" s="60"/>
      <c r="J15" s="58"/>
      <c r="K15" s="58"/>
      <c r="L15" s="58"/>
      <c r="M15" s="58"/>
      <c r="N15" s="58"/>
      <c r="O15" s="58"/>
      <c r="P15" s="58"/>
      <c r="Q15" s="59"/>
    </row>
    <row r="16" spans="2:17" ht="15" customHeight="1" x14ac:dyDescent="0.35">
      <c r="B16" s="55"/>
      <c r="C16" s="56"/>
      <c r="D16" s="57"/>
      <c r="E16" s="58"/>
      <c r="F16" s="59"/>
      <c r="G16" s="57"/>
      <c r="H16" s="59"/>
      <c r="I16" s="60"/>
      <c r="J16" s="58"/>
      <c r="K16" s="58"/>
      <c r="L16" s="58"/>
      <c r="M16" s="58"/>
      <c r="N16" s="58"/>
      <c r="O16" s="58"/>
      <c r="P16" s="58"/>
      <c r="Q16" s="59"/>
    </row>
    <row r="17" spans="2:17" ht="15" customHeight="1" x14ac:dyDescent="0.35">
      <c r="B17" s="55"/>
      <c r="C17" s="56"/>
      <c r="D17" s="57"/>
      <c r="E17" s="58"/>
      <c r="F17" s="59"/>
      <c r="G17" s="57"/>
      <c r="H17" s="59"/>
      <c r="I17" s="60"/>
      <c r="J17" s="58"/>
      <c r="K17" s="58"/>
      <c r="L17" s="58"/>
      <c r="M17" s="58"/>
      <c r="N17" s="58"/>
      <c r="O17" s="58"/>
      <c r="P17" s="58"/>
      <c r="Q17" s="59"/>
    </row>
    <row r="18" spans="2:17" ht="15" customHeight="1" x14ac:dyDescent="0.35">
      <c r="B18" s="55"/>
      <c r="C18" s="56"/>
      <c r="D18" s="57"/>
      <c r="E18" s="58"/>
      <c r="F18" s="59"/>
      <c r="G18" s="57"/>
      <c r="H18" s="59"/>
      <c r="I18" s="60"/>
      <c r="J18" s="58"/>
      <c r="K18" s="58"/>
      <c r="L18" s="58"/>
      <c r="M18" s="58"/>
      <c r="N18" s="58"/>
      <c r="O18" s="58"/>
      <c r="P18" s="58"/>
      <c r="Q18" s="59"/>
    </row>
    <row r="19" spans="2:17" ht="15" customHeight="1" x14ac:dyDescent="0.35">
      <c r="B19" s="55"/>
      <c r="C19" s="56"/>
      <c r="D19" s="57"/>
      <c r="E19" s="58"/>
      <c r="F19" s="59"/>
      <c r="G19" s="57"/>
      <c r="H19" s="59"/>
      <c r="I19" s="60"/>
      <c r="J19" s="58"/>
      <c r="K19" s="58"/>
      <c r="L19" s="58"/>
      <c r="M19" s="58"/>
      <c r="N19" s="58"/>
      <c r="O19" s="58"/>
      <c r="P19" s="58"/>
      <c r="Q19" s="59"/>
    </row>
    <row r="20" spans="2:17" ht="15" customHeight="1" x14ac:dyDescent="0.35">
      <c r="B20" s="55"/>
      <c r="C20" s="56"/>
      <c r="D20" s="57"/>
      <c r="E20" s="58"/>
      <c r="F20" s="59"/>
      <c r="G20" s="57"/>
      <c r="H20" s="59"/>
      <c r="I20" s="60"/>
      <c r="J20" s="58"/>
      <c r="K20" s="58"/>
      <c r="L20" s="58"/>
      <c r="M20" s="58"/>
      <c r="N20" s="58"/>
      <c r="O20" s="58"/>
      <c r="P20" s="58"/>
      <c r="Q20" s="59"/>
    </row>
    <row r="21" spans="2:17" ht="15" customHeight="1" x14ac:dyDescent="0.35">
      <c r="B21" s="55"/>
      <c r="C21" s="56"/>
      <c r="D21" s="57"/>
      <c r="E21" s="58"/>
      <c r="F21" s="59"/>
      <c r="G21" s="57"/>
      <c r="H21" s="59"/>
      <c r="I21" s="60"/>
      <c r="J21" s="58"/>
      <c r="K21" s="58"/>
      <c r="L21" s="58"/>
      <c r="M21" s="58"/>
      <c r="N21" s="58"/>
      <c r="O21" s="58"/>
      <c r="P21" s="58"/>
      <c r="Q21" s="59"/>
    </row>
    <row r="22" spans="2:17" ht="15" customHeight="1" x14ac:dyDescent="0.35">
      <c r="B22" s="55"/>
      <c r="C22" s="56"/>
      <c r="D22" s="57"/>
      <c r="E22" s="58"/>
      <c r="F22" s="59"/>
      <c r="G22" s="57"/>
      <c r="H22" s="59"/>
      <c r="I22" s="60"/>
      <c r="J22" s="58"/>
      <c r="K22" s="58"/>
      <c r="L22" s="58"/>
      <c r="M22" s="58"/>
      <c r="N22" s="58"/>
      <c r="O22" s="58"/>
      <c r="P22" s="58"/>
      <c r="Q22" s="59"/>
    </row>
    <row r="23" spans="2:17" ht="15" customHeight="1" x14ac:dyDescent="0.35">
      <c r="B23" s="55"/>
      <c r="C23" s="56"/>
      <c r="D23" s="57"/>
      <c r="E23" s="58"/>
      <c r="F23" s="59"/>
      <c r="G23" s="57"/>
      <c r="H23" s="59"/>
      <c r="I23" s="60"/>
      <c r="J23" s="58"/>
      <c r="K23" s="58"/>
      <c r="L23" s="58"/>
      <c r="M23" s="58"/>
      <c r="N23" s="58"/>
      <c r="O23" s="58"/>
      <c r="P23" s="58"/>
      <c r="Q23" s="59"/>
    </row>
    <row r="24" spans="2:17" ht="15" customHeight="1" x14ac:dyDescent="0.35">
      <c r="B24" s="55"/>
      <c r="C24" s="56"/>
      <c r="D24" s="57"/>
      <c r="E24" s="58"/>
      <c r="F24" s="59"/>
      <c r="G24" s="57"/>
      <c r="H24" s="59"/>
      <c r="I24" s="60"/>
      <c r="J24" s="58"/>
      <c r="K24" s="58"/>
      <c r="L24" s="58"/>
      <c r="M24" s="58"/>
      <c r="N24" s="58"/>
      <c r="O24" s="58"/>
      <c r="P24" s="58"/>
      <c r="Q24" s="59"/>
    </row>
    <row r="25" spans="2:17" ht="15" customHeight="1" x14ac:dyDescent="0.35">
      <c r="B25" s="55"/>
      <c r="C25" s="56"/>
      <c r="D25" s="57"/>
      <c r="E25" s="58"/>
      <c r="F25" s="59"/>
      <c r="G25" s="57"/>
      <c r="H25" s="59"/>
      <c r="I25" s="60"/>
      <c r="J25" s="58"/>
      <c r="K25" s="58"/>
      <c r="L25" s="58"/>
      <c r="M25" s="58"/>
      <c r="N25" s="58"/>
      <c r="O25" s="58"/>
      <c r="P25" s="58"/>
      <c r="Q25" s="59"/>
    </row>
    <row r="26" spans="2:17" ht="15" customHeight="1" x14ac:dyDescent="0.35">
      <c r="B26" s="55"/>
      <c r="C26" s="56"/>
      <c r="D26" s="57"/>
      <c r="E26" s="58"/>
      <c r="F26" s="59"/>
      <c r="G26" s="57"/>
      <c r="H26" s="59"/>
      <c r="I26" s="60"/>
      <c r="J26" s="58"/>
      <c r="K26" s="58"/>
      <c r="L26" s="58"/>
      <c r="M26" s="58"/>
      <c r="N26" s="58"/>
      <c r="O26" s="58"/>
      <c r="P26" s="58"/>
      <c r="Q26" s="59"/>
    </row>
    <row r="27" spans="2:17" ht="15" customHeight="1" x14ac:dyDescent="0.35">
      <c r="B27" s="55"/>
      <c r="C27" s="56"/>
      <c r="D27" s="57"/>
      <c r="E27" s="58"/>
      <c r="F27" s="59"/>
      <c r="G27" s="57"/>
      <c r="H27" s="59"/>
      <c r="I27" s="60"/>
      <c r="J27" s="58"/>
      <c r="K27" s="58"/>
      <c r="L27" s="58"/>
      <c r="M27" s="58"/>
      <c r="N27" s="58"/>
      <c r="O27" s="58"/>
      <c r="P27" s="58"/>
      <c r="Q27" s="59"/>
    </row>
    <row r="28" spans="2:17" ht="15" customHeight="1" x14ac:dyDescent="0.35">
      <c r="B28" s="55"/>
      <c r="C28" s="56"/>
      <c r="D28" s="57"/>
      <c r="E28" s="58"/>
      <c r="F28" s="59"/>
      <c r="G28" s="57"/>
      <c r="H28" s="59"/>
      <c r="I28" s="60"/>
      <c r="J28" s="58"/>
      <c r="K28" s="58"/>
      <c r="L28" s="58"/>
      <c r="M28" s="58"/>
      <c r="N28" s="58"/>
      <c r="O28" s="58"/>
      <c r="P28" s="58"/>
      <c r="Q28" s="59"/>
    </row>
    <row r="29" spans="2:17" ht="15" customHeight="1" thickBot="1" x14ac:dyDescent="0.4">
      <c r="B29" s="61"/>
      <c r="C29" s="62"/>
      <c r="D29" s="63"/>
      <c r="E29" s="64"/>
      <c r="F29" s="65"/>
      <c r="G29" s="63"/>
      <c r="H29" s="65"/>
      <c r="I29" s="66"/>
      <c r="J29" s="67"/>
      <c r="K29" s="67"/>
      <c r="L29" s="67"/>
      <c r="M29" s="67"/>
      <c r="N29" s="67"/>
      <c r="O29" s="67"/>
      <c r="P29" s="67"/>
      <c r="Q29" s="68"/>
    </row>
    <row r="30" spans="2:17" ht="15" customHeight="1" thickBot="1" x14ac:dyDescent="0.4">
      <c r="B30" s="170" t="s">
        <v>11895</v>
      </c>
      <c r="C30" s="171"/>
      <c r="D30" s="69"/>
      <c r="E30" s="69"/>
      <c r="F30" s="70"/>
      <c r="G30" s="71"/>
      <c r="H30" s="72"/>
      <c r="I30" s="73"/>
      <c r="J30" s="74"/>
      <c r="K30" s="74"/>
      <c r="L30" s="74"/>
      <c r="M30" s="74"/>
      <c r="N30" s="74"/>
      <c r="O30" s="74"/>
      <c r="P30" s="74"/>
      <c r="Q30" s="72"/>
    </row>
    <row r="31" spans="2:17" ht="15" customHeight="1" thickBot="1" x14ac:dyDescent="0.4">
      <c r="B31" s="172" t="s">
        <v>11907</v>
      </c>
      <c r="C31" s="173"/>
      <c r="D31" s="173"/>
      <c r="E31" s="173"/>
      <c r="F31" s="174"/>
      <c r="G31" s="175"/>
      <c r="H31" s="176"/>
      <c r="I31" s="177"/>
      <c r="J31" s="175"/>
      <c r="K31" s="175"/>
      <c r="L31" s="175"/>
      <c r="M31" s="175"/>
      <c r="N31" s="175"/>
      <c r="O31" s="175"/>
      <c r="P31" s="175"/>
      <c r="Q31" s="176"/>
    </row>
    <row r="32" spans="2:17" ht="15" customHeight="1" thickBot="1" x14ac:dyDescent="0.4">
      <c r="B32" s="151" t="s">
        <v>11908</v>
      </c>
      <c r="C32" s="152"/>
      <c r="D32" s="152"/>
      <c r="E32" s="152"/>
      <c r="F32" s="153"/>
      <c r="G32" s="154"/>
      <c r="H32" s="155"/>
      <c r="I32" s="155"/>
      <c r="J32" s="155"/>
      <c r="K32" s="155"/>
      <c r="L32" s="155"/>
      <c r="M32" s="155"/>
      <c r="N32" s="155"/>
      <c r="O32" s="155"/>
      <c r="P32" s="155"/>
      <c r="Q32" s="156"/>
    </row>
    <row r="33" spans="1:17" ht="15" customHeight="1" thickBot="1" x14ac:dyDescent="0.4">
      <c r="B33" s="157" t="s">
        <v>11906</v>
      </c>
      <c r="C33" s="158"/>
      <c r="D33" s="158"/>
      <c r="E33" s="158"/>
      <c r="F33" s="159"/>
      <c r="G33" s="154"/>
      <c r="H33" s="155"/>
      <c r="I33" s="155"/>
      <c r="J33" s="155"/>
      <c r="K33" s="155"/>
      <c r="L33" s="155"/>
      <c r="M33" s="155"/>
      <c r="N33" s="155"/>
      <c r="O33" s="155"/>
      <c r="P33" s="155"/>
      <c r="Q33" s="156"/>
    </row>
    <row r="34" spans="1:17" ht="7.5" customHeight="1" x14ac:dyDescent="0.35">
      <c r="A34" s="37"/>
      <c r="B34" s="75"/>
      <c r="C34" s="75"/>
      <c r="D34" s="76"/>
      <c r="E34" s="38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</row>
    <row r="35" spans="1:17" x14ac:dyDescent="0.3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</row>
    <row r="36" spans="1:17" ht="6.65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</row>
    <row r="37" spans="1:17" ht="15" customHeight="1" x14ac:dyDescent="0.35">
      <c r="A37" s="37"/>
      <c r="B37" s="77"/>
      <c r="C37" s="77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</row>
    <row r="38" spans="1:17" ht="46" customHeight="1" x14ac:dyDescent="0.35">
      <c r="A38" s="37"/>
      <c r="B38" s="77"/>
      <c r="C38" s="77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</row>
    <row r="39" spans="1:17" ht="15" customHeight="1" x14ac:dyDescent="0.35">
      <c r="A39" s="37"/>
      <c r="B39" s="80"/>
      <c r="C39" s="81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</row>
    <row r="40" spans="1:17" ht="15" customHeight="1" x14ac:dyDescent="0.35">
      <c r="A40" s="37"/>
      <c r="B40" s="80"/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</row>
    <row r="41" spans="1:17" ht="15" customHeight="1" x14ac:dyDescent="0.35">
      <c r="A41" s="37"/>
      <c r="B41" s="80"/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</row>
    <row r="42" spans="1:17" ht="15" customHeight="1" x14ac:dyDescent="0.35">
      <c r="A42" s="37"/>
      <c r="B42" s="80"/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</row>
    <row r="43" spans="1:17" ht="15" customHeight="1" x14ac:dyDescent="0.35">
      <c r="A43" s="37"/>
      <c r="B43" s="80"/>
      <c r="C43" s="81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</row>
    <row r="44" spans="1:17" ht="15" customHeight="1" x14ac:dyDescent="0.35">
      <c r="A44" s="37"/>
      <c r="B44" s="80"/>
      <c r="C44" s="8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</row>
    <row r="45" spans="1:17" ht="15" customHeight="1" x14ac:dyDescent="0.35">
      <c r="A45" s="37"/>
      <c r="B45" s="80"/>
      <c r="C45" s="81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</row>
    <row r="46" spans="1:17" ht="15" customHeight="1" x14ac:dyDescent="0.35">
      <c r="A46" s="37"/>
      <c r="B46" s="80"/>
      <c r="C46" s="81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</row>
    <row r="47" spans="1:17" ht="15" customHeight="1" x14ac:dyDescent="0.35">
      <c r="A47" s="37"/>
      <c r="B47" s="80"/>
      <c r="C47" s="81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</row>
    <row r="48" spans="1:17" ht="15" customHeight="1" x14ac:dyDescent="0.35">
      <c r="A48" s="37"/>
      <c r="B48" s="80"/>
      <c r="C48" s="81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</row>
    <row r="49" spans="1:17" ht="15" customHeight="1" x14ac:dyDescent="0.35">
      <c r="A49" s="37"/>
      <c r="B49" s="80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</row>
    <row r="50" spans="1:17" ht="15" customHeight="1" x14ac:dyDescent="0.35">
      <c r="A50" s="37"/>
      <c r="B50" s="80"/>
      <c r="C50" s="81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</row>
    <row r="51" spans="1:17" ht="15" customHeight="1" x14ac:dyDescent="0.35">
      <c r="A51" s="37"/>
      <c r="B51" s="80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</row>
    <row r="52" spans="1:17" ht="15" customHeight="1" x14ac:dyDescent="0.35">
      <c r="A52" s="37"/>
      <c r="B52" s="80"/>
      <c r="C52" s="81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</row>
    <row r="53" spans="1:17" ht="15" customHeight="1" x14ac:dyDescent="0.35">
      <c r="A53" s="37"/>
      <c r="B53" s="80"/>
      <c r="C53" s="81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</row>
    <row r="54" spans="1:17" ht="15" customHeight="1" x14ac:dyDescent="0.35">
      <c r="A54" s="37"/>
      <c r="B54" s="80"/>
      <c r="C54" s="81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</row>
    <row r="55" spans="1:17" ht="15" customHeight="1" x14ac:dyDescent="0.35">
      <c r="A55" s="37"/>
      <c r="B55" s="80"/>
      <c r="C55" s="81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</row>
    <row r="56" spans="1:17" ht="15" customHeight="1" x14ac:dyDescent="0.35">
      <c r="A56" s="37"/>
      <c r="B56" s="80"/>
      <c r="C56" s="81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</row>
    <row r="57" spans="1:17" ht="15" customHeight="1" x14ac:dyDescent="0.35">
      <c r="A57" s="37"/>
      <c r="B57" s="80"/>
      <c r="C57" s="81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</row>
    <row r="58" spans="1:17" ht="15" customHeight="1" x14ac:dyDescent="0.35">
      <c r="A58" s="37"/>
      <c r="B58" s="80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</row>
    <row r="59" spans="1:17" ht="15" customHeight="1" x14ac:dyDescent="0.35">
      <c r="A59" s="37"/>
      <c r="B59" s="80"/>
      <c r="C59" s="81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</row>
    <row r="60" spans="1:17" ht="15" customHeight="1" x14ac:dyDescent="0.35">
      <c r="A60" s="37"/>
      <c r="B60" s="80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</row>
    <row r="61" spans="1:17" ht="15" customHeight="1" x14ac:dyDescent="0.35">
      <c r="A61" s="37"/>
      <c r="B61" s="80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</row>
    <row r="62" spans="1:17" ht="15" customHeight="1" x14ac:dyDescent="0.35">
      <c r="A62" s="37"/>
      <c r="B62" s="80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</row>
    <row r="63" spans="1:17" ht="15" customHeight="1" x14ac:dyDescent="0.35">
      <c r="A63" s="37"/>
      <c r="B63" s="78"/>
      <c r="C63" s="78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</row>
    <row r="64" spans="1:17" ht="15" customHeight="1" x14ac:dyDescent="0.35">
      <c r="A64" s="37"/>
      <c r="B64" s="78"/>
      <c r="C64" s="78"/>
      <c r="D64" s="78"/>
      <c r="E64" s="78"/>
      <c r="F64" s="78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</row>
    <row r="65" spans="1:17" ht="15" customHeight="1" x14ac:dyDescent="0.35">
      <c r="A65" s="37"/>
      <c r="B65" s="77"/>
      <c r="C65" s="77"/>
      <c r="D65" s="77"/>
      <c r="E65" s="77"/>
      <c r="F65" s="77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 ht="15" customHeight="1" x14ac:dyDescent="0.35">
      <c r="A66" s="37"/>
      <c r="B66" s="78"/>
      <c r="C66" s="78"/>
      <c r="D66" s="78"/>
      <c r="E66" s="78"/>
      <c r="F66" s="78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 x14ac:dyDescent="0.3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</row>
    <row r="68" spans="1:17" x14ac:dyDescent="0.3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</row>
    <row r="69" spans="1:17" ht="6.75" customHeight="1" x14ac:dyDescent="0.3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</row>
    <row r="70" spans="1:17" x14ac:dyDescent="0.35">
      <c r="A70" s="37"/>
      <c r="B70" s="77"/>
      <c r="C70" s="77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</row>
    <row r="71" spans="1:17" ht="45.75" customHeight="1" x14ac:dyDescent="0.35">
      <c r="A71" s="37"/>
      <c r="B71" s="77"/>
      <c r="C71" s="77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</row>
    <row r="72" spans="1:17" ht="15" customHeight="1" x14ac:dyDescent="0.35">
      <c r="A72" s="37"/>
      <c r="B72" s="80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</row>
    <row r="73" spans="1:17" ht="15" customHeight="1" x14ac:dyDescent="0.35">
      <c r="A73" s="37"/>
      <c r="B73" s="80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</row>
    <row r="74" spans="1:17" ht="15" customHeight="1" x14ac:dyDescent="0.35">
      <c r="A74" s="37"/>
      <c r="B74" s="80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</row>
    <row r="75" spans="1:17" ht="15" customHeight="1" x14ac:dyDescent="0.35">
      <c r="A75" s="37"/>
      <c r="B75" s="80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</row>
    <row r="76" spans="1:17" ht="15" customHeight="1" x14ac:dyDescent="0.35">
      <c r="A76" s="37"/>
      <c r="B76" s="80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</row>
    <row r="77" spans="1:17" ht="15" customHeight="1" x14ac:dyDescent="0.35">
      <c r="A77" s="37"/>
      <c r="B77" s="80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</row>
    <row r="78" spans="1:17" ht="15" customHeight="1" x14ac:dyDescent="0.35">
      <c r="A78" s="37"/>
      <c r="B78" s="80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</row>
    <row r="79" spans="1:17" ht="15" customHeight="1" x14ac:dyDescent="0.35">
      <c r="A79" s="37"/>
      <c r="B79" s="80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</row>
    <row r="80" spans="1:17" ht="15" customHeight="1" x14ac:dyDescent="0.35">
      <c r="A80" s="37"/>
      <c r="B80" s="80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</row>
    <row r="81" spans="1:17" ht="15" customHeight="1" x14ac:dyDescent="0.35">
      <c r="A81" s="37"/>
      <c r="B81" s="80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</row>
    <row r="82" spans="1:17" ht="15" customHeight="1" x14ac:dyDescent="0.35">
      <c r="A82" s="37"/>
      <c r="B82" s="80"/>
      <c r="C82" s="81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</row>
    <row r="83" spans="1:17" ht="15" customHeight="1" x14ac:dyDescent="0.35">
      <c r="A83" s="37"/>
      <c r="B83" s="80"/>
      <c r="C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</row>
    <row r="84" spans="1:17" ht="15" customHeight="1" x14ac:dyDescent="0.35">
      <c r="A84" s="37"/>
      <c r="B84" s="80"/>
      <c r="C84" s="8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</row>
    <row r="85" spans="1:17" ht="15" customHeight="1" x14ac:dyDescent="0.35">
      <c r="A85" s="37"/>
      <c r="B85" s="80"/>
      <c r="C85" s="81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</row>
    <row r="86" spans="1:17" ht="15" customHeight="1" x14ac:dyDescent="0.35">
      <c r="A86" s="37"/>
      <c r="B86" s="80"/>
      <c r="C86" s="81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</row>
    <row r="87" spans="1:17" ht="15" customHeight="1" x14ac:dyDescent="0.35">
      <c r="A87" s="37"/>
      <c r="B87" s="80"/>
      <c r="C87" s="81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</row>
    <row r="88" spans="1:17" ht="15" customHeight="1" x14ac:dyDescent="0.35">
      <c r="A88" s="37"/>
      <c r="B88" s="80"/>
      <c r="C88" s="81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</row>
    <row r="89" spans="1:17" ht="15" customHeight="1" x14ac:dyDescent="0.35">
      <c r="A89" s="37"/>
      <c r="B89" s="80"/>
      <c r="C89" s="81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</row>
    <row r="90" spans="1:17" ht="15" customHeight="1" x14ac:dyDescent="0.35">
      <c r="A90" s="37"/>
      <c r="B90" s="80"/>
      <c r="C90" s="81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</row>
    <row r="91" spans="1:17" ht="15" customHeight="1" x14ac:dyDescent="0.35">
      <c r="A91" s="37"/>
      <c r="B91" s="80"/>
      <c r="C91" s="81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</row>
    <row r="92" spans="1:17" ht="15" customHeight="1" x14ac:dyDescent="0.35">
      <c r="A92" s="37"/>
      <c r="B92" s="80"/>
      <c r="C92" s="81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</row>
    <row r="93" spans="1:17" ht="15" customHeight="1" x14ac:dyDescent="0.35">
      <c r="A93" s="37"/>
      <c r="B93" s="80"/>
      <c r="C93" s="81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</row>
    <row r="94" spans="1:17" ht="15" customHeight="1" x14ac:dyDescent="0.35">
      <c r="A94" s="37"/>
      <c r="B94" s="80"/>
      <c r="C94" s="81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</row>
    <row r="95" spans="1:17" ht="15" customHeight="1" x14ac:dyDescent="0.35">
      <c r="A95" s="37"/>
      <c r="B95" s="80"/>
      <c r="C95" s="81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</row>
    <row r="96" spans="1:17" ht="15" customHeight="1" x14ac:dyDescent="0.35">
      <c r="A96" s="37"/>
      <c r="B96" s="78"/>
      <c r="C96" s="78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</row>
    <row r="97" spans="1:17" ht="15" customHeight="1" x14ac:dyDescent="0.35">
      <c r="A97" s="37"/>
      <c r="B97" s="78"/>
      <c r="C97" s="78"/>
      <c r="D97" s="78"/>
      <c r="E97" s="78"/>
      <c r="F97" s="78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</row>
    <row r="98" spans="1:17" ht="15" customHeight="1" x14ac:dyDescent="0.35">
      <c r="A98" s="37"/>
      <c r="B98" s="77"/>
      <c r="C98" s="77"/>
      <c r="D98" s="77"/>
      <c r="E98" s="77"/>
      <c r="F98" s="77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 ht="15" customHeight="1" x14ac:dyDescent="0.35">
      <c r="A99" s="37"/>
      <c r="B99" s="78"/>
      <c r="C99" s="78"/>
      <c r="D99" s="78"/>
      <c r="E99" s="78"/>
      <c r="F99" s="78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 x14ac:dyDescent="0.3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</row>
    <row r="101" spans="1:17" x14ac:dyDescent="0.3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</row>
    <row r="102" spans="1:17" x14ac:dyDescent="0.3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</row>
    <row r="103" spans="1:17" x14ac:dyDescent="0.3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</row>
    <row r="104" spans="1:17" x14ac:dyDescent="0.3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</row>
    <row r="105" spans="1:17" x14ac:dyDescent="0.3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</row>
    <row r="106" spans="1:17" x14ac:dyDescent="0.3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</row>
    <row r="107" spans="1:17" x14ac:dyDescent="0.3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</row>
    <row r="108" spans="1:17" x14ac:dyDescent="0.3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</row>
    <row r="109" spans="1:17" x14ac:dyDescent="0.3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</row>
    <row r="110" spans="1:17" x14ac:dyDescent="0.3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</row>
    <row r="111" spans="1:17" x14ac:dyDescent="0.3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</row>
    <row r="112" spans="1:17" x14ac:dyDescent="0.3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</row>
    <row r="113" spans="1:17" x14ac:dyDescent="0.3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</row>
    <row r="114" spans="1:17" x14ac:dyDescent="0.3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</row>
    <row r="115" spans="1:17" x14ac:dyDescent="0.3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</row>
    <row r="116" spans="1:17" x14ac:dyDescent="0.3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</row>
    <row r="117" spans="1:17" x14ac:dyDescent="0.3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</row>
    <row r="118" spans="1:17" x14ac:dyDescent="0.3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</row>
    <row r="119" spans="1:17" x14ac:dyDescent="0.3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</row>
    <row r="120" spans="1:17" x14ac:dyDescent="0.3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</row>
    <row r="121" spans="1:17" x14ac:dyDescent="0.3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</row>
    <row r="122" spans="1:17" x14ac:dyDescent="0.3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</row>
    <row r="123" spans="1:17" x14ac:dyDescent="0.3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</row>
    <row r="124" spans="1:17" x14ac:dyDescent="0.3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</row>
    <row r="125" spans="1:17" x14ac:dyDescent="0.3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</row>
    <row r="126" spans="1:17" x14ac:dyDescent="0.3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</row>
    <row r="127" spans="1:17" x14ac:dyDescent="0.3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</row>
    <row r="128" spans="1:17" x14ac:dyDescent="0.3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</row>
    <row r="129" spans="1:17" x14ac:dyDescent="0.3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</row>
    <row r="130" spans="1:17" x14ac:dyDescent="0.3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</row>
    <row r="131" spans="1:17" x14ac:dyDescent="0.3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</row>
    <row r="132" spans="1:17" x14ac:dyDescent="0.3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</row>
    <row r="133" spans="1:17" x14ac:dyDescent="0.3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</row>
    <row r="134" spans="1:17" x14ac:dyDescent="0.3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</row>
    <row r="135" spans="1:17" x14ac:dyDescent="0.3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</row>
    <row r="136" spans="1:17" x14ac:dyDescent="0.3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</row>
    <row r="137" spans="1:17" x14ac:dyDescent="0.3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</row>
    <row r="138" spans="1:17" x14ac:dyDescent="0.3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</row>
    <row r="139" spans="1:17" x14ac:dyDescent="0.3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</row>
    <row r="140" spans="1:17" x14ac:dyDescent="0.3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</row>
    <row r="141" spans="1:17" x14ac:dyDescent="0.3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</row>
    <row r="142" spans="1:17" x14ac:dyDescent="0.3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</row>
    <row r="143" spans="1:17" x14ac:dyDescent="0.3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</row>
    <row r="144" spans="1:17" x14ac:dyDescent="0.3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</row>
    <row r="145" spans="1:17" x14ac:dyDescent="0.3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</row>
    <row r="146" spans="1:17" x14ac:dyDescent="0.3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</row>
    <row r="147" spans="1:17" x14ac:dyDescent="0.3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</row>
    <row r="148" spans="1:17" x14ac:dyDescent="0.3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</row>
    <row r="149" spans="1:17" x14ac:dyDescent="0.3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</row>
    <row r="150" spans="1:17" x14ac:dyDescent="0.3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</row>
    <row r="151" spans="1:17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</row>
    <row r="152" spans="1:17" x14ac:dyDescent="0.3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</row>
    <row r="153" spans="1:17" x14ac:dyDescent="0.3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</row>
    <row r="154" spans="1:17" x14ac:dyDescent="0.3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</row>
    <row r="155" spans="1:17" x14ac:dyDescent="0.3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</row>
    <row r="156" spans="1:17" x14ac:dyDescent="0.3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</row>
    <row r="157" spans="1:17" x14ac:dyDescent="0.3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</row>
    <row r="158" spans="1:17" x14ac:dyDescent="0.3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</row>
    <row r="159" spans="1:17" x14ac:dyDescent="0.3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</row>
    <row r="160" spans="1:17" x14ac:dyDescent="0.3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</row>
    <row r="161" spans="1:17" x14ac:dyDescent="0.3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</row>
    <row r="162" spans="1:17" x14ac:dyDescent="0.3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</row>
    <row r="163" spans="1:17" x14ac:dyDescent="0.3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</row>
    <row r="164" spans="1:17" x14ac:dyDescent="0.3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</row>
    <row r="165" spans="1:17" x14ac:dyDescent="0.3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</row>
    <row r="166" spans="1:17" x14ac:dyDescent="0.3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</row>
    <row r="167" spans="1:17" x14ac:dyDescent="0.3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</row>
    <row r="168" spans="1:17" x14ac:dyDescent="0.3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</row>
    <row r="169" spans="1:17" x14ac:dyDescent="0.3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</row>
    <row r="170" spans="1:17" x14ac:dyDescent="0.3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</row>
    <row r="171" spans="1:17" x14ac:dyDescent="0.3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</row>
    <row r="172" spans="1:17" x14ac:dyDescent="0.3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</row>
    <row r="173" spans="1:17" x14ac:dyDescent="0.3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</row>
    <row r="174" spans="1:17" x14ac:dyDescent="0.3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</row>
    <row r="175" spans="1:17" x14ac:dyDescent="0.3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</row>
    <row r="176" spans="1:17" x14ac:dyDescent="0.3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</row>
    <row r="177" spans="1:17" x14ac:dyDescent="0.3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</row>
    <row r="178" spans="1:17" x14ac:dyDescent="0.3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</row>
    <row r="179" spans="1:17" x14ac:dyDescent="0.3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</row>
    <row r="180" spans="1:17" x14ac:dyDescent="0.3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</row>
    <row r="181" spans="1:17" x14ac:dyDescent="0.3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</row>
    <row r="182" spans="1:17" x14ac:dyDescent="0.3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</row>
    <row r="183" spans="1:17" x14ac:dyDescent="0.3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</row>
    <row r="184" spans="1:17" x14ac:dyDescent="0.3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</row>
    <row r="185" spans="1:17" x14ac:dyDescent="0.3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</row>
    <row r="186" spans="1:17" x14ac:dyDescent="0.3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</row>
    <row r="187" spans="1:17" x14ac:dyDescent="0.3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</row>
    <row r="188" spans="1:17" x14ac:dyDescent="0.3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</row>
    <row r="189" spans="1:17" x14ac:dyDescent="0.3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</row>
    <row r="190" spans="1:17" x14ac:dyDescent="0.3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</row>
    <row r="191" spans="1:17" x14ac:dyDescent="0.3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</row>
    <row r="192" spans="1:17" x14ac:dyDescent="0.3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</row>
    <row r="193" spans="1:17" x14ac:dyDescent="0.3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</row>
    <row r="194" spans="1:17" x14ac:dyDescent="0.3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</row>
    <row r="195" spans="1:17" x14ac:dyDescent="0.3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</row>
    <row r="196" spans="1:17" x14ac:dyDescent="0.3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</row>
    <row r="197" spans="1:17" x14ac:dyDescent="0.3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</row>
    <row r="198" spans="1:17" x14ac:dyDescent="0.3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</row>
    <row r="199" spans="1:17" x14ac:dyDescent="0.3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</row>
    <row r="200" spans="1:17" x14ac:dyDescent="0.3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</row>
    <row r="201" spans="1:17" x14ac:dyDescent="0.3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</row>
    <row r="202" spans="1:17" x14ac:dyDescent="0.3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</row>
    <row r="203" spans="1:17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</row>
    <row r="204" spans="1:17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</row>
    <row r="205" spans="1:17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</row>
    <row r="206" spans="1:17" x14ac:dyDescent="0.3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</row>
    <row r="207" spans="1:17" x14ac:dyDescent="0.3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</row>
    <row r="208" spans="1:17" x14ac:dyDescent="0.3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</row>
    <row r="209" spans="1:17" x14ac:dyDescent="0.3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</row>
    <row r="210" spans="1:17" x14ac:dyDescent="0.3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</row>
    <row r="211" spans="1:17" x14ac:dyDescent="0.3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</row>
    <row r="212" spans="1:17" x14ac:dyDescent="0.3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</row>
    <row r="213" spans="1:17" x14ac:dyDescent="0.3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</row>
    <row r="214" spans="1:17" x14ac:dyDescent="0.3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17" x14ac:dyDescent="0.3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</row>
    <row r="216" spans="1:17" x14ac:dyDescent="0.3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</row>
    <row r="217" spans="1:17" x14ac:dyDescent="0.3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</row>
    <row r="218" spans="1:17" x14ac:dyDescent="0.3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</row>
    <row r="219" spans="1:17" x14ac:dyDescent="0.3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</row>
    <row r="220" spans="1:17" x14ac:dyDescent="0.3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</row>
    <row r="221" spans="1:17" x14ac:dyDescent="0.3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</row>
    <row r="222" spans="1:17" x14ac:dyDescent="0.3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</row>
    <row r="223" spans="1:17" x14ac:dyDescent="0.3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</row>
    <row r="224" spans="1:17" x14ac:dyDescent="0.3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</row>
    <row r="225" spans="1:17" x14ac:dyDescent="0.3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</row>
    <row r="226" spans="1:17" x14ac:dyDescent="0.3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</row>
    <row r="227" spans="1:17" x14ac:dyDescent="0.3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</row>
    <row r="228" spans="1:17" x14ac:dyDescent="0.3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</row>
    <row r="229" spans="1:17" x14ac:dyDescent="0.3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</row>
    <row r="230" spans="1:17" x14ac:dyDescent="0.3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</row>
    <row r="231" spans="1:17" x14ac:dyDescent="0.3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</row>
    <row r="232" spans="1:17" x14ac:dyDescent="0.3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</row>
    <row r="233" spans="1:17" x14ac:dyDescent="0.3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</row>
    <row r="234" spans="1:17" x14ac:dyDescent="0.3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spans="1:17" x14ac:dyDescent="0.3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spans="1:17" x14ac:dyDescent="0.3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</row>
    <row r="237" spans="1:17" x14ac:dyDescent="0.3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  <row r="238" spans="1:17" x14ac:dyDescent="0.3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</row>
    <row r="239" spans="1:17" x14ac:dyDescent="0.3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</row>
    <row r="240" spans="1:17" x14ac:dyDescent="0.3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</row>
    <row r="241" spans="1:17" x14ac:dyDescent="0.3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</row>
    <row r="242" spans="1:17" x14ac:dyDescent="0.3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</row>
    <row r="243" spans="1:17" x14ac:dyDescent="0.3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</row>
    <row r="244" spans="1:17" x14ac:dyDescent="0.3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</row>
    <row r="245" spans="1:17" x14ac:dyDescent="0.3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</row>
    <row r="246" spans="1:17" x14ac:dyDescent="0.3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</row>
    <row r="247" spans="1:17" x14ac:dyDescent="0.3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</row>
    <row r="248" spans="1:17" x14ac:dyDescent="0.3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</row>
    <row r="249" spans="1:17" x14ac:dyDescent="0.3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</row>
    <row r="250" spans="1:17" x14ac:dyDescent="0.3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</row>
    <row r="251" spans="1:17" x14ac:dyDescent="0.3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</row>
    <row r="252" spans="1:17" x14ac:dyDescent="0.3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</row>
    <row r="253" spans="1:17" x14ac:dyDescent="0.3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</row>
    <row r="254" spans="1:17" x14ac:dyDescent="0.3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</row>
    <row r="255" spans="1:17" x14ac:dyDescent="0.3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</row>
    <row r="256" spans="1:17" x14ac:dyDescent="0.3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</row>
    <row r="257" spans="1:17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</row>
    <row r="258" spans="1:17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</row>
    <row r="259" spans="1:17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</row>
    <row r="260" spans="1:17" x14ac:dyDescent="0.3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</row>
    <row r="261" spans="1:17" x14ac:dyDescent="0.3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</row>
    <row r="262" spans="1:17" x14ac:dyDescent="0.3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</row>
    <row r="263" spans="1:17" x14ac:dyDescent="0.3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</row>
    <row r="264" spans="1:17" x14ac:dyDescent="0.3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</row>
    <row r="265" spans="1:17" x14ac:dyDescent="0.3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</row>
    <row r="266" spans="1:17" x14ac:dyDescent="0.3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</row>
    <row r="267" spans="1:17" x14ac:dyDescent="0.3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</row>
    <row r="268" spans="1:17" x14ac:dyDescent="0.3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</row>
    <row r="269" spans="1:17" x14ac:dyDescent="0.3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</row>
    <row r="270" spans="1:17" x14ac:dyDescent="0.3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</row>
    <row r="271" spans="1:17" x14ac:dyDescent="0.3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</row>
    <row r="272" spans="1:17" x14ac:dyDescent="0.3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</row>
    <row r="273" spans="1:17" x14ac:dyDescent="0.3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</row>
    <row r="274" spans="1:17" x14ac:dyDescent="0.3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</row>
    <row r="275" spans="1:17" x14ac:dyDescent="0.3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</row>
    <row r="276" spans="1:17" x14ac:dyDescent="0.3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</row>
    <row r="277" spans="1:17" x14ac:dyDescent="0.3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</row>
    <row r="278" spans="1:17" x14ac:dyDescent="0.3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</row>
    <row r="279" spans="1:17" x14ac:dyDescent="0.3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</row>
    <row r="280" spans="1:17" x14ac:dyDescent="0.3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</row>
    <row r="281" spans="1:17" x14ac:dyDescent="0.3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</row>
    <row r="282" spans="1:17" x14ac:dyDescent="0.3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</row>
    <row r="283" spans="1:17" x14ac:dyDescent="0.3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</row>
    <row r="284" spans="1:17" x14ac:dyDescent="0.3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</row>
    <row r="285" spans="1:17" x14ac:dyDescent="0.3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</row>
    <row r="286" spans="1:17" x14ac:dyDescent="0.3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</row>
    <row r="287" spans="1:17" x14ac:dyDescent="0.3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</row>
    <row r="288" spans="1:17" x14ac:dyDescent="0.3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</row>
    <row r="289" spans="1:17" x14ac:dyDescent="0.3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</row>
    <row r="290" spans="1:17" x14ac:dyDescent="0.3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</row>
    <row r="291" spans="1:17" x14ac:dyDescent="0.3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</row>
    <row r="292" spans="1:17" x14ac:dyDescent="0.3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</row>
    <row r="293" spans="1:17" x14ac:dyDescent="0.3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</row>
    <row r="294" spans="1:17" x14ac:dyDescent="0.3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</row>
    <row r="295" spans="1:17" x14ac:dyDescent="0.3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</row>
    <row r="296" spans="1:17" x14ac:dyDescent="0.3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</row>
    <row r="297" spans="1:17" x14ac:dyDescent="0.3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</row>
    <row r="298" spans="1:17" x14ac:dyDescent="0.3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</row>
    <row r="299" spans="1:17" x14ac:dyDescent="0.3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</row>
    <row r="300" spans="1:17" x14ac:dyDescent="0.3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</row>
    <row r="301" spans="1:17" x14ac:dyDescent="0.3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</row>
    <row r="302" spans="1:17" x14ac:dyDescent="0.3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</row>
    <row r="303" spans="1:17" x14ac:dyDescent="0.3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</row>
    <row r="304" spans="1:17" x14ac:dyDescent="0.3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</row>
    <row r="305" spans="1:17" x14ac:dyDescent="0.3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</row>
    <row r="306" spans="1:17" x14ac:dyDescent="0.3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</row>
    <row r="307" spans="1:17" x14ac:dyDescent="0.3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</row>
    <row r="308" spans="1:17" x14ac:dyDescent="0.3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</row>
    <row r="309" spans="1:17" x14ac:dyDescent="0.3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</row>
    <row r="310" spans="1:17" x14ac:dyDescent="0.3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</row>
    <row r="311" spans="1:17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</row>
    <row r="312" spans="1:17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</row>
    <row r="313" spans="1:17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</row>
    <row r="314" spans="1:17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</row>
    <row r="315" spans="1:17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</row>
    <row r="316" spans="1:17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</row>
    <row r="317" spans="1:17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</row>
    <row r="318" spans="1:17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</row>
    <row r="319" spans="1:17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</row>
    <row r="320" spans="1:17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</row>
    <row r="321" spans="1:17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</row>
    <row r="322" spans="1:17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</row>
    <row r="323" spans="1:17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</row>
    <row r="324" spans="1:17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</row>
    <row r="325" spans="1:17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</row>
    <row r="326" spans="1:17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</row>
    <row r="327" spans="1:17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</row>
    <row r="328" spans="1:17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</row>
    <row r="329" spans="1:17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</row>
    <row r="330" spans="1:17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</row>
    <row r="331" spans="1:17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</row>
    <row r="332" spans="1:17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</row>
    <row r="333" spans="1:17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</row>
    <row r="334" spans="1:17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</row>
    <row r="335" spans="1:17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</row>
    <row r="336" spans="1:17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</row>
  </sheetData>
  <mergeCells count="12">
    <mergeCell ref="B32:F32"/>
    <mergeCell ref="G32:Q32"/>
    <mergeCell ref="B33:F33"/>
    <mergeCell ref="G33:Q33"/>
    <mergeCell ref="B4:C4"/>
    <mergeCell ref="D4:F4"/>
    <mergeCell ref="G4:H4"/>
    <mergeCell ref="I4:Q4"/>
    <mergeCell ref="B30:C30"/>
    <mergeCell ref="B31:F31"/>
    <mergeCell ref="G31:H31"/>
    <mergeCell ref="I31:Q31"/>
  </mergeCells>
  <pageMargins left="0.7" right="0.7" top="0.75" bottom="0.75" header="0.3" footer="0.3"/>
  <pageSetup paperSize="5" orientation="landscape" r:id="rId1"/>
  <headerFooter>
    <oddHeader>&amp;C&amp;"-,Bold"&amp;14Natural Woody Stem Data: CVS Levels 2 - 3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31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1.36328125" customWidth="1"/>
    <col min="2" max="2" width="4" customWidth="1"/>
    <col min="3" max="6" width="3.90625" customWidth="1"/>
    <col min="7" max="7" width="29.1796875" customWidth="1"/>
    <col min="8" max="8" width="4.54296875" customWidth="1"/>
    <col min="9" max="9" width="5.6328125" customWidth="1"/>
    <col min="10" max="13" width="4.54296875" customWidth="1"/>
    <col min="14" max="14" width="9.1796875" customWidth="1"/>
    <col min="15" max="17" width="4.54296875" customWidth="1"/>
  </cols>
  <sheetData>
    <row r="1" spans="2:17" ht="15.75" customHeight="1" thickBot="1" x14ac:dyDescent="0.4">
      <c r="B1" s="85" t="str">
        <f>CONCATENATE("Team: KCI", "  Crew: ", Woody!B3, "  Project: ", Woody!B1, "  Plot: ", Woody!B2, "  Date: ", TEXT(Woody!B4,"ddd mm/dd/yy"), "  Ares (100 sq m): ", Woody!C2/100)</f>
        <v>Team: KCI  Crew: SJ, JS  Project: TEST PROJECT  Plot: VP1  Date: Thu 05/16/19  Ares (100 sq m): 2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7"/>
    </row>
    <row r="2" spans="2:17" ht="18" customHeight="1" thickBot="1" x14ac:dyDescent="0.4">
      <c r="B2" s="184" t="s">
        <v>11896</v>
      </c>
      <c r="C2" s="185"/>
      <c r="D2" s="185"/>
      <c r="E2" s="185"/>
      <c r="F2" s="186"/>
      <c r="G2" s="187" t="s">
        <v>11897</v>
      </c>
      <c r="H2" s="188"/>
      <c r="I2" s="188"/>
      <c r="J2" s="188"/>
      <c r="K2" s="188"/>
      <c r="L2" s="188"/>
      <c r="M2" s="189"/>
      <c r="N2" s="88" t="s">
        <v>11898</v>
      </c>
      <c r="O2" s="190" t="s">
        <v>11899</v>
      </c>
      <c r="P2" s="190"/>
      <c r="Q2" s="191"/>
    </row>
    <row r="3" spans="2:17" ht="25" customHeight="1" thickBot="1" x14ac:dyDescent="0.4">
      <c r="B3" s="89" t="s">
        <v>11900</v>
      </c>
      <c r="C3" s="90" t="s">
        <v>11901</v>
      </c>
      <c r="D3" s="90" t="s">
        <v>11902</v>
      </c>
      <c r="E3" s="90" t="s">
        <v>11903</v>
      </c>
      <c r="F3" s="91" t="s">
        <v>11904</v>
      </c>
      <c r="G3" s="92" t="s">
        <v>2</v>
      </c>
      <c r="H3" s="192" t="s">
        <v>1</v>
      </c>
      <c r="I3" s="193"/>
      <c r="J3" s="193"/>
      <c r="K3" s="193"/>
      <c r="L3" s="193"/>
      <c r="M3" s="193"/>
      <c r="N3" s="93"/>
      <c r="O3" s="94"/>
      <c r="P3" s="94"/>
      <c r="Q3" s="95"/>
    </row>
    <row r="4" spans="2:17" ht="22.4" customHeight="1" x14ac:dyDescent="0.35">
      <c r="B4" s="96"/>
      <c r="C4" s="97"/>
      <c r="D4" s="97"/>
      <c r="E4" s="97"/>
      <c r="F4" s="98"/>
      <c r="G4" s="99"/>
      <c r="H4" s="194"/>
      <c r="I4" s="195"/>
      <c r="J4" s="195"/>
      <c r="K4" s="195"/>
      <c r="L4" s="195"/>
      <c r="M4" s="196"/>
      <c r="N4" s="100"/>
      <c r="O4" s="97"/>
      <c r="P4" s="97"/>
      <c r="Q4" s="101"/>
    </row>
    <row r="5" spans="2:17" ht="22.4" customHeight="1" x14ac:dyDescent="0.35">
      <c r="B5" s="102"/>
      <c r="C5" s="103"/>
      <c r="D5" s="103"/>
      <c r="E5" s="103"/>
      <c r="F5" s="104"/>
      <c r="G5" s="105"/>
      <c r="H5" s="181"/>
      <c r="I5" s="182"/>
      <c r="J5" s="182"/>
      <c r="K5" s="182"/>
      <c r="L5" s="182"/>
      <c r="M5" s="183"/>
      <c r="N5" s="106"/>
      <c r="O5" s="103"/>
      <c r="P5" s="103"/>
      <c r="Q5" s="107"/>
    </row>
    <row r="6" spans="2:17" ht="22.4" customHeight="1" x14ac:dyDescent="0.35">
      <c r="B6" s="102"/>
      <c r="C6" s="103"/>
      <c r="D6" s="103"/>
      <c r="E6" s="103"/>
      <c r="F6" s="104"/>
      <c r="G6" s="105"/>
      <c r="H6" s="181"/>
      <c r="I6" s="182"/>
      <c r="J6" s="182"/>
      <c r="K6" s="182"/>
      <c r="L6" s="182"/>
      <c r="M6" s="183"/>
      <c r="N6" s="106"/>
      <c r="O6" s="103"/>
      <c r="P6" s="103"/>
      <c r="Q6" s="107"/>
    </row>
    <row r="7" spans="2:17" ht="22.4" customHeight="1" x14ac:dyDescent="0.35">
      <c r="B7" s="102"/>
      <c r="C7" s="103"/>
      <c r="D7" s="103"/>
      <c r="E7" s="103"/>
      <c r="F7" s="104"/>
      <c r="G7" s="105"/>
      <c r="H7" s="181"/>
      <c r="I7" s="182"/>
      <c r="J7" s="182"/>
      <c r="K7" s="182"/>
      <c r="L7" s="182"/>
      <c r="M7" s="183"/>
      <c r="N7" s="106"/>
      <c r="O7" s="103"/>
      <c r="P7" s="103"/>
      <c r="Q7" s="107"/>
    </row>
    <row r="8" spans="2:17" ht="22.4" customHeight="1" x14ac:dyDescent="0.35">
      <c r="B8" s="102"/>
      <c r="C8" s="103"/>
      <c r="D8" s="103"/>
      <c r="E8" s="103"/>
      <c r="F8" s="104"/>
      <c r="G8" s="105"/>
      <c r="H8" s="181"/>
      <c r="I8" s="182"/>
      <c r="J8" s="182"/>
      <c r="K8" s="182"/>
      <c r="L8" s="182"/>
      <c r="M8" s="183"/>
      <c r="N8" s="106"/>
      <c r="O8" s="103"/>
      <c r="P8" s="103"/>
      <c r="Q8" s="107"/>
    </row>
    <row r="9" spans="2:17" ht="22.4" customHeight="1" x14ac:dyDescent="0.35">
      <c r="B9" s="102"/>
      <c r="C9" s="103"/>
      <c r="D9" s="103"/>
      <c r="E9" s="103"/>
      <c r="F9" s="104"/>
      <c r="G9" s="105"/>
      <c r="H9" s="181"/>
      <c r="I9" s="182"/>
      <c r="J9" s="182"/>
      <c r="K9" s="182"/>
      <c r="L9" s="182"/>
      <c r="M9" s="183"/>
      <c r="N9" s="106"/>
      <c r="O9" s="103"/>
      <c r="P9" s="103"/>
      <c r="Q9" s="107"/>
    </row>
    <row r="10" spans="2:17" ht="22.4" customHeight="1" x14ac:dyDescent="0.35">
      <c r="B10" s="102"/>
      <c r="C10" s="103"/>
      <c r="D10" s="103"/>
      <c r="E10" s="103"/>
      <c r="F10" s="104"/>
      <c r="G10" s="105"/>
      <c r="H10" s="181"/>
      <c r="I10" s="182"/>
      <c r="J10" s="182"/>
      <c r="K10" s="182"/>
      <c r="L10" s="182"/>
      <c r="M10" s="183"/>
      <c r="N10" s="106"/>
      <c r="O10" s="103"/>
      <c r="P10" s="103"/>
      <c r="Q10" s="107"/>
    </row>
    <row r="11" spans="2:17" ht="22.4" customHeight="1" x14ac:dyDescent="0.35">
      <c r="B11" s="102"/>
      <c r="C11" s="103"/>
      <c r="D11" s="103"/>
      <c r="E11" s="103"/>
      <c r="F11" s="104"/>
      <c r="G11" s="105"/>
      <c r="H11" s="181"/>
      <c r="I11" s="182"/>
      <c r="J11" s="182"/>
      <c r="K11" s="182"/>
      <c r="L11" s="182"/>
      <c r="M11" s="183"/>
      <c r="N11" s="106"/>
      <c r="O11" s="103"/>
      <c r="P11" s="103"/>
      <c r="Q11" s="107"/>
    </row>
    <row r="12" spans="2:17" ht="22.4" customHeight="1" x14ac:dyDescent="0.35">
      <c r="B12" s="108"/>
      <c r="C12" s="109"/>
      <c r="D12" s="109"/>
      <c r="E12" s="109"/>
      <c r="F12" s="110"/>
      <c r="G12" s="105"/>
      <c r="H12" s="181"/>
      <c r="I12" s="182"/>
      <c r="J12" s="182"/>
      <c r="K12" s="182"/>
      <c r="L12" s="182"/>
      <c r="M12" s="183"/>
      <c r="N12" s="111"/>
      <c r="O12" s="109"/>
      <c r="P12" s="109"/>
      <c r="Q12" s="112"/>
    </row>
    <row r="13" spans="2:17" ht="22.4" customHeight="1" x14ac:dyDescent="0.35">
      <c r="B13" s="113"/>
      <c r="C13" s="114"/>
      <c r="D13" s="114"/>
      <c r="E13" s="114"/>
      <c r="F13" s="115"/>
      <c r="G13" s="105"/>
      <c r="H13" s="181"/>
      <c r="I13" s="182"/>
      <c r="J13" s="182"/>
      <c r="K13" s="182"/>
      <c r="L13" s="182"/>
      <c r="M13" s="183"/>
      <c r="N13" s="116"/>
      <c r="O13" s="114"/>
      <c r="P13" s="114"/>
      <c r="Q13" s="117"/>
    </row>
    <row r="14" spans="2:17" ht="22.4" customHeight="1" x14ac:dyDescent="0.35">
      <c r="B14" s="102"/>
      <c r="C14" s="103"/>
      <c r="D14" s="103"/>
      <c r="E14" s="103"/>
      <c r="F14" s="104"/>
      <c r="G14" s="105"/>
      <c r="H14" s="181"/>
      <c r="I14" s="182"/>
      <c r="J14" s="182"/>
      <c r="K14" s="182"/>
      <c r="L14" s="182"/>
      <c r="M14" s="183"/>
      <c r="N14" s="106"/>
      <c r="O14" s="103"/>
      <c r="P14" s="103"/>
      <c r="Q14" s="107"/>
    </row>
    <row r="15" spans="2:17" ht="22.4" customHeight="1" x14ac:dyDescent="0.35">
      <c r="B15" s="102"/>
      <c r="C15" s="103"/>
      <c r="D15" s="103"/>
      <c r="E15" s="103"/>
      <c r="F15" s="104"/>
      <c r="G15" s="105"/>
      <c r="H15" s="181"/>
      <c r="I15" s="182"/>
      <c r="J15" s="182"/>
      <c r="K15" s="182"/>
      <c r="L15" s="182"/>
      <c r="M15" s="183"/>
      <c r="N15" s="106"/>
      <c r="O15" s="103"/>
      <c r="P15" s="103"/>
      <c r="Q15" s="107"/>
    </row>
    <row r="16" spans="2:17" ht="22.4" customHeight="1" x14ac:dyDescent="0.35">
      <c r="B16" s="102"/>
      <c r="C16" s="103"/>
      <c r="D16" s="103"/>
      <c r="E16" s="103"/>
      <c r="F16" s="104"/>
      <c r="G16" s="105"/>
      <c r="H16" s="181"/>
      <c r="I16" s="182"/>
      <c r="J16" s="182"/>
      <c r="K16" s="182"/>
      <c r="L16" s="182"/>
      <c r="M16" s="183"/>
      <c r="N16" s="106"/>
      <c r="O16" s="103"/>
      <c r="P16" s="103"/>
      <c r="Q16" s="107"/>
    </row>
    <row r="17" spans="2:17" ht="22.4" customHeight="1" x14ac:dyDescent="0.35">
      <c r="B17" s="102"/>
      <c r="C17" s="103"/>
      <c r="D17" s="103"/>
      <c r="E17" s="103"/>
      <c r="F17" s="104"/>
      <c r="G17" s="105"/>
      <c r="H17" s="181"/>
      <c r="I17" s="182"/>
      <c r="J17" s="182"/>
      <c r="K17" s="182"/>
      <c r="L17" s="182"/>
      <c r="M17" s="183"/>
      <c r="N17" s="106"/>
      <c r="O17" s="103"/>
      <c r="P17" s="103"/>
      <c r="Q17" s="107"/>
    </row>
    <row r="18" spans="2:17" ht="22.4" customHeight="1" x14ac:dyDescent="0.35">
      <c r="B18" s="102"/>
      <c r="C18" s="103"/>
      <c r="D18" s="103"/>
      <c r="E18" s="103"/>
      <c r="F18" s="104"/>
      <c r="G18" s="105"/>
      <c r="H18" s="181"/>
      <c r="I18" s="182"/>
      <c r="J18" s="182"/>
      <c r="K18" s="182"/>
      <c r="L18" s="182"/>
      <c r="M18" s="183"/>
      <c r="N18" s="106"/>
      <c r="O18" s="103"/>
      <c r="P18" s="103"/>
      <c r="Q18" s="107"/>
    </row>
    <row r="19" spans="2:17" ht="22.4" customHeight="1" x14ac:dyDescent="0.35">
      <c r="B19" s="102"/>
      <c r="C19" s="103"/>
      <c r="D19" s="103"/>
      <c r="E19" s="103"/>
      <c r="F19" s="104"/>
      <c r="G19" s="105"/>
      <c r="H19" s="181"/>
      <c r="I19" s="182"/>
      <c r="J19" s="182"/>
      <c r="K19" s="182"/>
      <c r="L19" s="182"/>
      <c r="M19" s="183"/>
      <c r="N19" s="106"/>
      <c r="O19" s="103"/>
      <c r="P19" s="103"/>
      <c r="Q19" s="107"/>
    </row>
    <row r="20" spans="2:17" ht="22.4" customHeight="1" x14ac:dyDescent="0.35">
      <c r="B20" s="102"/>
      <c r="C20" s="103"/>
      <c r="D20" s="103"/>
      <c r="E20" s="103"/>
      <c r="F20" s="104"/>
      <c r="G20" s="105"/>
      <c r="H20" s="181"/>
      <c r="I20" s="182"/>
      <c r="J20" s="182"/>
      <c r="K20" s="182"/>
      <c r="L20" s="182"/>
      <c r="M20" s="183"/>
      <c r="N20" s="106"/>
      <c r="O20" s="103"/>
      <c r="P20" s="103"/>
      <c r="Q20" s="107"/>
    </row>
    <row r="21" spans="2:17" ht="22.4" customHeight="1" x14ac:dyDescent="0.35">
      <c r="B21" s="102"/>
      <c r="C21" s="103"/>
      <c r="D21" s="103"/>
      <c r="E21" s="103"/>
      <c r="F21" s="104"/>
      <c r="G21" s="105"/>
      <c r="H21" s="181"/>
      <c r="I21" s="182"/>
      <c r="J21" s="182"/>
      <c r="K21" s="182"/>
      <c r="L21" s="182"/>
      <c r="M21" s="183"/>
      <c r="N21" s="106"/>
      <c r="O21" s="103"/>
      <c r="P21" s="103"/>
      <c r="Q21" s="107"/>
    </row>
    <row r="22" spans="2:17" ht="22.4" customHeight="1" x14ac:dyDescent="0.35">
      <c r="B22" s="102"/>
      <c r="C22" s="103"/>
      <c r="D22" s="103"/>
      <c r="E22" s="103"/>
      <c r="F22" s="104"/>
      <c r="G22" s="105"/>
      <c r="H22" s="181"/>
      <c r="I22" s="182"/>
      <c r="J22" s="182"/>
      <c r="K22" s="182"/>
      <c r="L22" s="182"/>
      <c r="M22" s="183"/>
      <c r="N22" s="106"/>
      <c r="O22" s="103"/>
      <c r="P22" s="103"/>
      <c r="Q22" s="107"/>
    </row>
    <row r="23" spans="2:17" ht="22.4" customHeight="1" x14ac:dyDescent="0.35">
      <c r="B23" s="102"/>
      <c r="C23" s="103"/>
      <c r="D23" s="103"/>
      <c r="E23" s="103"/>
      <c r="F23" s="104"/>
      <c r="G23" s="105"/>
      <c r="H23" s="181"/>
      <c r="I23" s="182"/>
      <c r="J23" s="182"/>
      <c r="K23" s="182"/>
      <c r="L23" s="182"/>
      <c r="M23" s="183"/>
      <c r="N23" s="106"/>
      <c r="O23" s="103"/>
      <c r="P23" s="103"/>
      <c r="Q23" s="107"/>
    </row>
    <row r="24" spans="2:17" ht="22.4" customHeight="1" x14ac:dyDescent="0.35">
      <c r="B24" s="102"/>
      <c r="C24" s="103"/>
      <c r="D24" s="103"/>
      <c r="E24" s="103"/>
      <c r="F24" s="104"/>
      <c r="G24" s="105"/>
      <c r="H24" s="181"/>
      <c r="I24" s="182"/>
      <c r="J24" s="182"/>
      <c r="K24" s="182"/>
      <c r="L24" s="182"/>
      <c r="M24" s="183"/>
      <c r="N24" s="106"/>
      <c r="O24" s="103"/>
      <c r="P24" s="103"/>
      <c r="Q24" s="107"/>
    </row>
    <row r="25" spans="2:17" ht="22.4" customHeight="1" x14ac:dyDescent="0.35">
      <c r="B25" s="102"/>
      <c r="C25" s="103"/>
      <c r="D25" s="103"/>
      <c r="E25" s="103"/>
      <c r="F25" s="104"/>
      <c r="G25" s="105"/>
      <c r="H25" s="181"/>
      <c r="I25" s="182"/>
      <c r="J25" s="182"/>
      <c r="K25" s="182"/>
      <c r="L25" s="182"/>
      <c r="M25" s="183"/>
      <c r="N25" s="106"/>
      <c r="O25" s="103"/>
      <c r="P25" s="103"/>
      <c r="Q25" s="107"/>
    </row>
    <row r="26" spans="2:17" ht="22.4" customHeight="1" x14ac:dyDescent="0.35">
      <c r="B26" s="102"/>
      <c r="C26" s="103"/>
      <c r="D26" s="103"/>
      <c r="E26" s="103"/>
      <c r="F26" s="104"/>
      <c r="G26" s="105"/>
      <c r="H26" s="181"/>
      <c r="I26" s="182"/>
      <c r="J26" s="182"/>
      <c r="K26" s="182"/>
      <c r="L26" s="182"/>
      <c r="M26" s="183"/>
      <c r="N26" s="106"/>
      <c r="O26" s="103"/>
      <c r="P26" s="103"/>
      <c r="Q26" s="107"/>
    </row>
    <row r="27" spans="2:17" ht="22.4" customHeight="1" x14ac:dyDescent="0.35">
      <c r="B27" s="102"/>
      <c r="C27" s="103"/>
      <c r="D27" s="103"/>
      <c r="E27" s="103"/>
      <c r="F27" s="104"/>
      <c r="G27" s="105"/>
      <c r="H27" s="181"/>
      <c r="I27" s="182"/>
      <c r="J27" s="182"/>
      <c r="K27" s="182"/>
      <c r="L27" s="182"/>
      <c r="M27" s="183"/>
      <c r="N27" s="106"/>
      <c r="O27" s="103"/>
      <c r="P27" s="103"/>
      <c r="Q27" s="107"/>
    </row>
    <row r="28" spans="2:17" ht="22.4" customHeight="1" x14ac:dyDescent="0.35">
      <c r="B28" s="102"/>
      <c r="C28" s="103"/>
      <c r="D28" s="103"/>
      <c r="E28" s="103"/>
      <c r="F28" s="104"/>
      <c r="G28" s="105"/>
      <c r="H28" s="181"/>
      <c r="I28" s="182"/>
      <c r="J28" s="182"/>
      <c r="K28" s="182"/>
      <c r="L28" s="182"/>
      <c r="M28" s="183"/>
      <c r="N28" s="106"/>
      <c r="O28" s="103"/>
      <c r="P28" s="103"/>
      <c r="Q28" s="107"/>
    </row>
    <row r="29" spans="2:17" ht="22.4" customHeight="1" x14ac:dyDescent="0.35">
      <c r="B29" s="102"/>
      <c r="C29" s="103"/>
      <c r="D29" s="103"/>
      <c r="E29" s="103"/>
      <c r="F29" s="104"/>
      <c r="G29" s="105"/>
      <c r="H29" s="181"/>
      <c r="I29" s="182"/>
      <c r="J29" s="182"/>
      <c r="K29" s="182"/>
      <c r="L29" s="182"/>
      <c r="M29" s="183"/>
      <c r="N29" s="106"/>
      <c r="O29" s="103"/>
      <c r="P29" s="103"/>
      <c r="Q29" s="107"/>
    </row>
    <row r="30" spans="2:17" ht="22.4" customHeight="1" thickBot="1" x14ac:dyDescent="0.4">
      <c r="B30" s="118"/>
      <c r="C30" s="119"/>
      <c r="D30" s="119"/>
      <c r="E30" s="119"/>
      <c r="F30" s="120"/>
      <c r="G30" s="121"/>
      <c r="H30" s="178"/>
      <c r="I30" s="179"/>
      <c r="J30" s="179"/>
      <c r="K30" s="179"/>
      <c r="L30" s="179"/>
      <c r="M30" s="180"/>
      <c r="N30" s="122"/>
      <c r="O30" s="119"/>
      <c r="P30" s="119"/>
      <c r="Q30" s="123"/>
    </row>
    <row r="31" spans="2:17" x14ac:dyDescent="0.35">
      <c r="B31" t="s">
        <v>11905</v>
      </c>
    </row>
  </sheetData>
  <mergeCells count="31">
    <mergeCell ref="H11:M11"/>
    <mergeCell ref="B2:F2"/>
    <mergeCell ref="G2:M2"/>
    <mergeCell ref="O2:Q2"/>
    <mergeCell ref="H3:M3"/>
    <mergeCell ref="H4:M4"/>
    <mergeCell ref="H5:M5"/>
    <mergeCell ref="H6:M6"/>
    <mergeCell ref="H7:M7"/>
    <mergeCell ref="H8:M8"/>
    <mergeCell ref="H9:M9"/>
    <mergeCell ref="H10:M10"/>
    <mergeCell ref="H23:M23"/>
    <mergeCell ref="H12:M12"/>
    <mergeCell ref="H13:M13"/>
    <mergeCell ref="H14:M14"/>
    <mergeCell ref="H15:M15"/>
    <mergeCell ref="H16:M16"/>
    <mergeCell ref="H17:M17"/>
    <mergeCell ref="H18:M18"/>
    <mergeCell ref="H19:M19"/>
    <mergeCell ref="H20:M20"/>
    <mergeCell ref="H21:M21"/>
    <mergeCell ref="H22:M22"/>
    <mergeCell ref="H30:M30"/>
    <mergeCell ref="H24:M24"/>
    <mergeCell ref="H25:M25"/>
    <mergeCell ref="H26:M26"/>
    <mergeCell ref="H27:M27"/>
    <mergeCell ref="H28:M28"/>
    <mergeCell ref="H29:M29"/>
  </mergeCells>
  <dataValidations count="1">
    <dataValidation showInputMessage="1" showErrorMessage="1" sqref="G4:G30"/>
  </dataValidation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Woody</vt:lpstr>
      <vt:lpstr>Coverage</vt:lpstr>
      <vt:lpstr>PlantList</vt:lpstr>
      <vt:lpstr>RWT</vt:lpstr>
      <vt:lpstr>RCT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Jones</dc:creator>
  <cp:lastModifiedBy>Sky Jones</cp:lastModifiedBy>
  <dcterms:created xsi:type="dcterms:W3CDTF">2019-04-19T18:27:32Z</dcterms:created>
  <dcterms:modified xsi:type="dcterms:W3CDTF">2019-05-16T20:49:25Z</dcterms:modified>
</cp:coreProperties>
</file>