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10" windowWidth="14810" windowHeight="8010"/>
  </bookViews>
  <sheets>
    <sheet name="VPX" sheetId="1" r:id="rId1"/>
  </sheets>
  <externalReferences>
    <externalReference r:id="rId2"/>
  </externalReferences>
  <definedNames>
    <definedName name="_xlnm.Print_Area" localSheetId="0">VPX!$A$1:$I$38</definedName>
  </definedNames>
  <calcPr calcId="152511"/>
</workbook>
</file>

<file path=xl/calcChain.xml><?xml version="1.0" encoding="utf-8"?>
<calcChain xmlns="http://schemas.openxmlformats.org/spreadsheetml/2006/main">
  <c r="E47" i="1" l="1"/>
  <c r="F47" i="1"/>
  <c r="G47" i="1"/>
  <c r="H47" i="1"/>
  <c r="I47" i="1"/>
  <c r="D47" i="1"/>
  <c r="I46" i="1"/>
  <c r="C46" i="1"/>
  <c r="I45" i="1"/>
  <c r="C45" i="1"/>
  <c r="I44" i="1"/>
  <c r="C44" i="1"/>
  <c r="I43" i="1"/>
  <c r="C43" i="1"/>
  <c r="I42" i="1"/>
  <c r="C42" i="1"/>
  <c r="C34" i="1"/>
  <c r="C35" i="1"/>
  <c r="C36" i="1"/>
  <c r="C37" i="1"/>
  <c r="C33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12" i="1"/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E29" i="1"/>
  <c r="F29" i="1"/>
  <c r="G29" i="1"/>
  <c r="H29" i="1"/>
  <c r="D29" i="1"/>
  <c r="D38" i="1"/>
  <c r="I29" i="1" l="1"/>
</calcChain>
</file>

<file path=xl/sharedStrings.xml><?xml version="1.0" encoding="utf-8"?>
<sst xmlns="http://schemas.openxmlformats.org/spreadsheetml/2006/main" count="40" uniqueCount="27">
  <si>
    <t>TN Stream Mitigation Program</t>
  </si>
  <si>
    <t>Project Name:</t>
  </si>
  <si>
    <t>Stream Name</t>
  </si>
  <si>
    <t>Plot No.:</t>
  </si>
  <si>
    <t>Surveyors:</t>
  </si>
  <si>
    <t>Tree &amp; Shrub Species</t>
  </si>
  <si>
    <t xml:space="preserve"> &lt;2</t>
  </si>
  <si>
    <t>2-4</t>
  </si>
  <si>
    <t>4-6</t>
  </si>
  <si>
    <t>6-12</t>
  </si>
  <si>
    <t>&gt;12</t>
  </si>
  <si>
    <t>Estimated Tally Height (Feet)</t>
  </si>
  <si>
    <t>Stem Total</t>
  </si>
  <si>
    <t>Appendix F</t>
  </si>
  <si>
    <t>Monitoring Protocol</t>
  </si>
  <si>
    <t>VEGETATION MONITORING FORM</t>
  </si>
  <si>
    <t>Total</t>
  </si>
  <si>
    <t>Est. % Cover</t>
  </si>
  <si>
    <t>Herbaceous, Invasive &amp; Vine Species</t>
  </si>
  <si>
    <t>Notes</t>
  </si>
  <si>
    <t>Stream Reach:</t>
  </si>
  <si>
    <t>Plot Size:</t>
  </si>
  <si>
    <t>Date:</t>
  </si>
  <si>
    <t>TSMP Project No.:</t>
  </si>
  <si>
    <t>Common</t>
  </si>
  <si>
    <t>Scientific</t>
  </si>
  <si>
    <t>Woody Invasives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</si>
</sst>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21" xfId="0" quotePrefix="1" applyFont="1" applyBorder="1" applyAlignment="1">
      <alignment horizontal="center"/>
    </xf>
    <xf numFmtId="0" fontId="2" fillId="0" borderId="22" xfId="0" quotePrefix="1" applyFont="1" applyBorder="1" applyAlignment="1">
      <alignment horizontal="center"/>
    </xf>
    <xf numFmtId="0" fontId="2" fillId="0" borderId="23" xfId="0" quotePrefix="1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9" fontId="0" fillId="0" borderId="12" xfId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4" fillId="2" borderId="0" xfId="0" applyFont="1" applyFill="1"/>
    <xf numFmtId="0" fontId="0" fillId="4" borderId="41" xfId="0" applyFill="1" applyBorder="1"/>
    <xf numFmtId="0" fontId="4" fillId="2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/>
    <xf numFmtId="0" fontId="0" fillId="0" borderId="0" xfId="0" applyFill="1" applyBorder="1"/>
    <xf numFmtId="0" fontId="2" fillId="0" borderId="0" xfId="0" applyFont="1" applyFill="1" applyAlignment="1"/>
    <xf numFmtId="0" fontId="3" fillId="0" borderId="1" xfId="0" applyFont="1" applyFill="1" applyBorder="1" applyAlignment="1">
      <alignment horizontal="left"/>
    </xf>
    <xf numFmtId="0" fontId="0" fillId="0" borderId="34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18" xfId="0" applyFont="1" applyFill="1" applyBorder="1" applyAlignment="1">
      <alignment horizontal="left"/>
    </xf>
    <xf numFmtId="0" fontId="3" fillId="0" borderId="33" xfId="0" applyFont="1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3" fillId="0" borderId="40" xfId="0" applyFont="1" applyFill="1" applyBorder="1" applyAlignment="1">
      <alignment horizontal="left"/>
    </xf>
    <xf numFmtId="49" fontId="0" fillId="3" borderId="9" xfId="0" applyNumberFormat="1" applyFill="1" applyBorder="1" applyAlignment="1">
      <alignment horizontal="left"/>
    </xf>
    <xf numFmtId="49" fontId="0" fillId="3" borderId="0" xfId="0" applyNumberFormat="1" applyFill="1" applyBorder="1" applyAlignment="1">
      <alignment horizontal="left"/>
    </xf>
    <xf numFmtId="49" fontId="0" fillId="3" borderId="13" xfId="0" applyNumberFormat="1" applyFill="1" applyBorder="1" applyAlignment="1">
      <alignment horizontal="left"/>
    </xf>
    <xf numFmtId="49" fontId="0" fillId="3" borderId="8" xfId="0" applyNumberFormat="1" applyFill="1" applyBorder="1" applyAlignment="1">
      <alignment horizontal="left"/>
    </xf>
    <xf numFmtId="49" fontId="0" fillId="3" borderId="3" xfId="0" applyNumberFormat="1" applyFill="1" applyBorder="1" applyAlignment="1">
      <alignment horizontal="left"/>
    </xf>
    <xf numFmtId="49" fontId="0" fillId="3" borderId="12" xfId="0" applyNumberFormat="1" applyFill="1" applyBorder="1" applyAlignment="1">
      <alignment horizontal="left"/>
    </xf>
    <xf numFmtId="0" fontId="0" fillId="0" borderId="1" xfId="0" applyFill="1" applyBorder="1" applyAlignment="1"/>
    <xf numFmtId="0" fontId="0" fillId="0" borderId="2" xfId="0" applyFill="1" applyBorder="1" applyAlignment="1"/>
    <xf numFmtId="0" fontId="2" fillId="0" borderId="1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left"/>
    </xf>
    <xf numFmtId="49" fontId="2" fillId="3" borderId="5" xfId="0" applyNumberFormat="1" applyFont="1" applyFill="1" applyBorder="1" applyAlignment="1">
      <alignment horizontal="left"/>
    </xf>
    <xf numFmtId="49" fontId="2" fillId="3" borderId="11" xfId="0" applyNumberFormat="1" applyFont="1" applyFill="1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5"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N Plants"/>
    </sheetNames>
    <sheetDataSet>
      <sheetData sheetId="0">
        <row r="1">
          <cell r="A1" t="str">
            <v>Common Name</v>
          </cell>
          <cell r="B1" t="str">
            <v>Scientific Name</v>
          </cell>
        </row>
        <row r="2">
          <cell r="A2" t="str">
            <v>Alder</v>
          </cell>
          <cell r="B2" t="str">
            <v>Alnus serrulata</v>
          </cell>
        </row>
        <row r="3">
          <cell r="A3" t="str">
            <v>Allegheny Chinkapin</v>
          </cell>
          <cell r="B3" t="str">
            <v>Castanea pumila</v>
          </cell>
        </row>
        <row r="4">
          <cell r="A4" t="str">
            <v>American Beech</v>
          </cell>
          <cell r="B4" t="str">
            <v>Fagus grandifolia</v>
          </cell>
        </row>
        <row r="5">
          <cell r="A5" t="str">
            <v>American Elm</v>
          </cell>
          <cell r="B5" t="str">
            <v>Ulmus americana</v>
          </cell>
        </row>
        <row r="6">
          <cell r="A6" t="str">
            <v>American Holly</v>
          </cell>
          <cell r="B6" t="str">
            <v>Ilex opaca</v>
          </cell>
        </row>
        <row r="7">
          <cell r="A7" t="str">
            <v>American Linden</v>
          </cell>
          <cell r="B7" t="str">
            <v>Tilia americana</v>
          </cell>
        </row>
        <row r="8">
          <cell r="A8" t="str">
            <v>Baldcypress</v>
          </cell>
          <cell r="B8" t="str">
            <v>Taxodium distichum</v>
          </cell>
        </row>
        <row r="9">
          <cell r="A9" t="str">
            <v>Black Cherry</v>
          </cell>
          <cell r="B9" t="str">
            <v>Prunus serotina</v>
          </cell>
        </row>
        <row r="10">
          <cell r="A10" t="str">
            <v>Black Cherry</v>
          </cell>
          <cell r="B10" t="str">
            <v>Prunus serotina</v>
          </cell>
        </row>
        <row r="11">
          <cell r="A11" t="str">
            <v>Black Locust</v>
          </cell>
          <cell r="B11" t="str">
            <v>Robinia pseudoacacia</v>
          </cell>
        </row>
        <row r="12">
          <cell r="A12" t="str">
            <v>Black Oak</v>
          </cell>
          <cell r="B12" t="str">
            <v>Quercus velutina</v>
          </cell>
        </row>
        <row r="13">
          <cell r="A13" t="str">
            <v>Black Walnut</v>
          </cell>
          <cell r="B13" t="str">
            <v>Juglans nigra</v>
          </cell>
        </row>
        <row r="14">
          <cell r="A14" t="str">
            <v>Blackberry</v>
          </cell>
          <cell r="B14" t="str">
            <v>Rubus fruticosus</v>
          </cell>
        </row>
        <row r="15">
          <cell r="A15" t="str">
            <v>Blackgum</v>
          </cell>
          <cell r="B15" t="str">
            <v>Nyssa sylvatica</v>
          </cell>
        </row>
        <row r="16">
          <cell r="A16" t="str">
            <v>Box Elder</v>
          </cell>
          <cell r="B16" t="str">
            <v>Acer negundo</v>
          </cell>
        </row>
        <row r="17">
          <cell r="A17" t="str">
            <v>Buckeye</v>
          </cell>
          <cell r="B17" t="str">
            <v>Aesculus spp.</v>
          </cell>
        </row>
        <row r="18">
          <cell r="A18" t="str">
            <v>Buckthorn Bumelia</v>
          </cell>
          <cell r="B18" t="str">
            <v>Bumelia lycioides</v>
          </cell>
        </row>
        <row r="19">
          <cell r="A19" t="str">
            <v>Bur Oak</v>
          </cell>
          <cell r="B19" t="str">
            <v>Quercus macrocarpa</v>
          </cell>
        </row>
        <row r="20">
          <cell r="A20" t="str">
            <v>Buttonbush</v>
          </cell>
          <cell r="B20" t="str">
            <v>Cephalanthus occidentalis</v>
          </cell>
        </row>
        <row r="21">
          <cell r="A21" t="str">
            <v>Carolina Buckthorn</v>
          </cell>
          <cell r="B21" t="str">
            <v>Rhamnus caroliniana</v>
          </cell>
        </row>
        <row r="22">
          <cell r="A22" t="str">
            <v>Cherrybark Oak</v>
          </cell>
          <cell r="B22" t="str">
            <v>Quercus pagoda</v>
          </cell>
        </row>
        <row r="23">
          <cell r="A23" t="str">
            <v>Chestnut Oak</v>
          </cell>
          <cell r="B23" t="str">
            <v>Quercus prinus</v>
          </cell>
        </row>
        <row r="24">
          <cell r="A24" t="str">
            <v>Chinese Lespedeza</v>
          </cell>
          <cell r="B24" t="str">
            <v>Lespedeza cuneata</v>
          </cell>
        </row>
        <row r="25">
          <cell r="A25" t="str">
            <v>Chinkapin Oak</v>
          </cell>
          <cell r="B25" t="str">
            <v>Quercus muehlenbergii</v>
          </cell>
        </row>
        <row r="26">
          <cell r="A26" t="str">
            <v>Cucumbertree</v>
          </cell>
          <cell r="B26" t="str">
            <v>Magnolia acuminata</v>
          </cell>
        </row>
        <row r="27">
          <cell r="A27" t="str">
            <v>Devil’s Walking Stick</v>
          </cell>
          <cell r="B27" t="str">
            <v>Aralia spinosa</v>
          </cell>
        </row>
        <row r="28">
          <cell r="A28" t="str">
            <v>Dogwood</v>
          </cell>
          <cell r="B28" t="str">
            <v>Cornus florida</v>
          </cell>
        </row>
        <row r="29">
          <cell r="A29" t="str">
            <v>Eastern Hemlock</v>
          </cell>
          <cell r="B29" t="str">
            <v>Tsuga candensis</v>
          </cell>
        </row>
        <row r="30">
          <cell r="A30" t="str">
            <v>Eastern Red-Cedar</v>
          </cell>
          <cell r="B30" t="str">
            <v>Juniperus virginiana</v>
          </cell>
        </row>
        <row r="31">
          <cell r="A31" t="str">
            <v>Eastern White Pine</v>
          </cell>
          <cell r="B31" t="str">
            <v>Pinus strobus</v>
          </cell>
        </row>
        <row r="32">
          <cell r="A32" t="str">
            <v>False Indigo</v>
          </cell>
          <cell r="B32" t="str">
            <v>Amorpha fruticosa</v>
          </cell>
        </row>
        <row r="33">
          <cell r="A33" t="str">
            <v>Fringetree</v>
          </cell>
          <cell r="B33" t="str">
            <v>Chionanthus virginicus</v>
          </cell>
        </row>
        <row r="34">
          <cell r="A34" t="str">
            <v>Green Ash</v>
          </cell>
          <cell r="B34" t="str">
            <v>Fraxinus pennsylvanica</v>
          </cell>
        </row>
        <row r="35">
          <cell r="A35" t="str">
            <v>Hackberry</v>
          </cell>
          <cell r="B35" t="str">
            <v>Celtis occidentalis</v>
          </cell>
        </row>
        <row r="36">
          <cell r="A36" t="str">
            <v>Hawthorn</v>
          </cell>
          <cell r="B36" t="str">
            <v>Crateagus spp.</v>
          </cell>
        </row>
        <row r="37">
          <cell r="A37" t="str">
            <v>Hazelnut</v>
          </cell>
          <cell r="B37" t="str">
            <v>Corylus americana</v>
          </cell>
        </row>
        <row r="38">
          <cell r="A38" t="str">
            <v>Hickories</v>
          </cell>
          <cell r="B38" t="str">
            <v>Carya spp.</v>
          </cell>
        </row>
        <row r="39">
          <cell r="A39" t="str">
            <v>Hophornbeam</v>
          </cell>
          <cell r="B39" t="str">
            <v>Ostrya virginiana</v>
          </cell>
        </row>
        <row r="40">
          <cell r="A40" t="str">
            <v>Hornbeam</v>
          </cell>
          <cell r="B40" t="str">
            <v>Carpinus caroliniana</v>
          </cell>
        </row>
        <row r="41">
          <cell r="A41" t="str">
            <v>Japanese Honeysuckle</v>
          </cell>
          <cell r="B41" t="str">
            <v>Lonicera japonica</v>
          </cell>
        </row>
        <row r="42">
          <cell r="A42" t="str">
            <v>Johnson Grass</v>
          </cell>
          <cell r="B42" t="str">
            <v>Sorghum halepense</v>
          </cell>
        </row>
        <row r="43">
          <cell r="A43" t="str">
            <v>Kentucky Coffeetree</v>
          </cell>
          <cell r="B43" t="str">
            <v>Gymnocladus dioicus</v>
          </cell>
        </row>
        <row r="44">
          <cell r="A44" t="str">
            <v>Loblolly Pine</v>
          </cell>
          <cell r="B44" t="str">
            <v>Pinus taeda</v>
          </cell>
        </row>
        <row r="45">
          <cell r="A45" t="str">
            <v>Mountain Maple</v>
          </cell>
          <cell r="B45" t="str">
            <v>Acer spicatum</v>
          </cell>
        </row>
        <row r="46">
          <cell r="A46" t="str">
            <v>N. Red Oak</v>
          </cell>
          <cell r="B46" t="str">
            <v>Quercus rubra</v>
          </cell>
        </row>
        <row r="47">
          <cell r="A47" t="str">
            <v>Northern Catalpa</v>
          </cell>
          <cell r="B47" t="str">
            <v>Catalpa speciosa</v>
          </cell>
        </row>
        <row r="48">
          <cell r="A48" t="str">
            <v>Northern Red Oak</v>
          </cell>
          <cell r="B48" t="str">
            <v>Quercus rubra</v>
          </cell>
        </row>
        <row r="49">
          <cell r="A49" t="str">
            <v>Nuttall Oak</v>
          </cell>
          <cell r="B49" t="str">
            <v>Quercus nuttalli</v>
          </cell>
        </row>
        <row r="50">
          <cell r="A50" t="str">
            <v>Overcup Oak</v>
          </cell>
          <cell r="B50" t="str">
            <v>Quercus lyrata</v>
          </cell>
        </row>
        <row r="51">
          <cell r="A51" t="str">
            <v>Pawpaw</v>
          </cell>
          <cell r="B51" t="str">
            <v>Asimina triloba</v>
          </cell>
        </row>
        <row r="52">
          <cell r="A52" t="str">
            <v>Pecan</v>
          </cell>
          <cell r="B52" t="str">
            <v>Carya illinoensis</v>
          </cell>
        </row>
        <row r="53">
          <cell r="A53" t="str">
            <v>Persimmon</v>
          </cell>
          <cell r="B53" t="str">
            <v>Diospyros virginiana</v>
          </cell>
        </row>
        <row r="54">
          <cell r="A54" t="str">
            <v>Persimmon</v>
          </cell>
          <cell r="B54" t="str">
            <v>Diospyros virginiana</v>
          </cell>
        </row>
        <row r="55">
          <cell r="A55" t="str">
            <v>Pin Oak</v>
          </cell>
          <cell r="B55" t="str">
            <v>Quercus palustris</v>
          </cell>
        </row>
        <row r="56">
          <cell r="A56" t="str">
            <v>Pine Barren Goldenrod</v>
          </cell>
          <cell r="B56" t="str">
            <v>Solidago fistulosa</v>
          </cell>
        </row>
        <row r="57">
          <cell r="A57" t="str">
            <v>Poison Ivy</v>
          </cell>
          <cell r="B57" t="str">
            <v>Toxicodendron radicans</v>
          </cell>
        </row>
        <row r="58">
          <cell r="A58" t="str">
            <v>Post Oak</v>
          </cell>
          <cell r="B58" t="str">
            <v>Quercus stellata</v>
          </cell>
        </row>
        <row r="59">
          <cell r="A59" t="str">
            <v>Red Buckeye</v>
          </cell>
          <cell r="B59" t="str">
            <v>Aesculus pavia</v>
          </cell>
        </row>
        <row r="60">
          <cell r="A60" t="str">
            <v>Red Cedar</v>
          </cell>
          <cell r="B60" t="str">
            <v>Juniperus virginiana</v>
          </cell>
        </row>
        <row r="61">
          <cell r="A61" t="str">
            <v>Red Maple</v>
          </cell>
          <cell r="B61" t="str">
            <v>Acer rubrum</v>
          </cell>
        </row>
        <row r="62">
          <cell r="A62" t="str">
            <v>Redbud</v>
          </cell>
          <cell r="B62" t="str">
            <v>Cercis canadensis</v>
          </cell>
        </row>
        <row r="63">
          <cell r="A63" t="str">
            <v>River Birch</v>
          </cell>
          <cell r="B63" t="str">
            <v>Betula nigra</v>
          </cell>
        </row>
        <row r="64">
          <cell r="A64" t="str">
            <v>Sassafras</v>
          </cell>
          <cell r="B64" t="str">
            <v>Sassafras albidum</v>
          </cell>
        </row>
        <row r="65">
          <cell r="A65" t="str">
            <v>Scarlet Oak</v>
          </cell>
          <cell r="B65" t="str">
            <v>Quercus coccinea</v>
          </cell>
        </row>
        <row r="66">
          <cell r="A66" t="str">
            <v>Serviceberry</v>
          </cell>
          <cell r="B66" t="str">
            <v>Amelanchier arborea</v>
          </cell>
        </row>
        <row r="67">
          <cell r="A67" t="str">
            <v>Shining Sumac</v>
          </cell>
          <cell r="B67" t="str">
            <v>Rhus copallina</v>
          </cell>
        </row>
        <row r="68">
          <cell r="A68" t="str">
            <v>Shortleaf Pine</v>
          </cell>
          <cell r="B68" t="str">
            <v>Pinus echinata</v>
          </cell>
        </row>
        <row r="69">
          <cell r="A69" t="str">
            <v>Shumard Oak</v>
          </cell>
          <cell r="B69" t="str">
            <v>Quercus shumardii</v>
          </cell>
        </row>
        <row r="70">
          <cell r="A70" t="str">
            <v>Silver Maple</v>
          </cell>
          <cell r="B70" t="str">
            <v>Acer saccharinum</v>
          </cell>
        </row>
        <row r="71">
          <cell r="A71" t="str">
            <v>Silverbell</v>
          </cell>
          <cell r="B71" t="str">
            <v>Halesia carolina</v>
          </cell>
        </row>
        <row r="72">
          <cell r="A72" t="str">
            <v>Smilax</v>
          </cell>
        </row>
        <row r="73">
          <cell r="A73" t="str">
            <v>Smoketree</v>
          </cell>
          <cell r="B73" t="str">
            <v>Cotinus obovatus</v>
          </cell>
        </row>
        <row r="74">
          <cell r="A74" t="str">
            <v>Smooth Sumac</v>
          </cell>
          <cell r="B74" t="str">
            <v>Rhus glabra</v>
          </cell>
        </row>
        <row r="75">
          <cell r="A75" t="str">
            <v>Snowbell</v>
          </cell>
          <cell r="B75" t="str">
            <v>Styrax spp.</v>
          </cell>
        </row>
        <row r="76">
          <cell r="A76" t="str">
            <v>Sourwood</v>
          </cell>
          <cell r="B76" t="str">
            <v>Oxydendron arboreum</v>
          </cell>
        </row>
        <row r="77">
          <cell r="A77" t="str">
            <v>Southern Red Oak</v>
          </cell>
          <cell r="B77" t="str">
            <v>Quercus falcata</v>
          </cell>
        </row>
        <row r="78">
          <cell r="A78" t="str">
            <v>Staghorn Sumac</v>
          </cell>
          <cell r="B78" t="str">
            <v>Rhus typhina</v>
          </cell>
        </row>
        <row r="79">
          <cell r="A79" t="str">
            <v>Striped Maple</v>
          </cell>
          <cell r="B79" t="str">
            <v>Acer pensylvanicum</v>
          </cell>
        </row>
        <row r="80">
          <cell r="A80" t="str">
            <v>Sugar Maple</v>
          </cell>
          <cell r="B80" t="str">
            <v>Acer saccharum</v>
          </cell>
        </row>
        <row r="81">
          <cell r="A81" t="str">
            <v>Swamp Chestnut Oak</v>
          </cell>
          <cell r="B81" t="str">
            <v>Quercus michauxii</v>
          </cell>
        </row>
        <row r="82">
          <cell r="A82" t="str">
            <v>Sweetbay</v>
          </cell>
          <cell r="B82" t="str">
            <v>Magnolia virginiana</v>
          </cell>
        </row>
        <row r="83">
          <cell r="A83" t="str">
            <v>Sweetgum</v>
          </cell>
          <cell r="B83" t="str">
            <v>Liquidambar styraciflua</v>
          </cell>
        </row>
        <row r="84">
          <cell r="A84" t="str">
            <v>Sweetleaf</v>
          </cell>
          <cell r="B84" t="str">
            <v>Symplocus tinctoria</v>
          </cell>
        </row>
        <row r="85">
          <cell r="A85" t="str">
            <v>Sycamore</v>
          </cell>
          <cell r="B85" t="str">
            <v>Platanus occidentalis</v>
          </cell>
        </row>
        <row r="86">
          <cell r="A86" t="str">
            <v>Tulip Poplar</v>
          </cell>
          <cell r="B86" t="str">
            <v>Liriodendron tulipifera</v>
          </cell>
        </row>
        <row r="87">
          <cell r="A87" t="str">
            <v>Water Oak</v>
          </cell>
          <cell r="B87" t="str">
            <v>Quercus nigra</v>
          </cell>
        </row>
        <row r="88">
          <cell r="A88" t="str">
            <v>White Ash</v>
          </cell>
          <cell r="B88" t="str">
            <v>Fraxinus americana</v>
          </cell>
        </row>
        <row r="89">
          <cell r="A89" t="str">
            <v>White Oak</v>
          </cell>
          <cell r="B89" t="str">
            <v>Quercus alba</v>
          </cell>
        </row>
        <row r="90">
          <cell r="A90" t="str">
            <v>Willow Oak</v>
          </cell>
          <cell r="B90" t="str">
            <v>Quercus phellos</v>
          </cell>
        </row>
        <row r="91">
          <cell r="A91" t="str">
            <v>Winged Sumac</v>
          </cell>
          <cell r="B91" t="str">
            <v>Rhus copallinum</v>
          </cell>
        </row>
        <row r="92">
          <cell r="A92" t="str">
            <v>Witch Hazel</v>
          </cell>
          <cell r="B92" t="str">
            <v>Hamamelis virginiana</v>
          </cell>
        </row>
        <row r="93">
          <cell r="A93" t="str">
            <v>Yellow-Poplar</v>
          </cell>
          <cell r="B93" t="str">
            <v>Liriodendron tulipifera</v>
          </cell>
        </row>
        <row r="94">
          <cell r="A94" t="str">
            <v>Yellowwood</v>
          </cell>
          <cell r="B94" t="str">
            <v>Cladrastis lutea</v>
          </cell>
        </row>
        <row r="95">
          <cell r="A95" t="str">
            <v>Multiflora Rose</v>
          </cell>
          <cell r="B95" t="str">
            <v>Rosa multiflora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7"/>
  <sheetViews>
    <sheetView tabSelected="1" topLeftCell="A16" zoomScale="75" zoomScaleNormal="75" workbookViewId="0">
      <selection activeCell="C37" sqref="C37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29"/>
    <col min="11" max="11" width="8.7265625" style="27" customWidth="1"/>
  </cols>
  <sheetData>
    <row r="1" spans="1:9" x14ac:dyDescent="0.35">
      <c r="A1" s="26" t="s">
        <v>0</v>
      </c>
      <c r="B1" s="1"/>
      <c r="C1" s="1"/>
      <c r="D1" s="1"/>
      <c r="E1" s="1"/>
      <c r="F1" s="1"/>
      <c r="G1" s="1"/>
      <c r="H1" s="1"/>
      <c r="I1" s="28" t="s">
        <v>14</v>
      </c>
    </row>
    <row r="2" spans="1:9" x14ac:dyDescent="0.35">
      <c r="A2" s="1"/>
      <c r="B2" s="1"/>
      <c r="C2" s="1"/>
      <c r="D2" s="1"/>
      <c r="E2" s="1"/>
      <c r="F2" s="1"/>
      <c r="G2" s="1"/>
      <c r="H2" s="1"/>
      <c r="I2" s="28" t="s">
        <v>13</v>
      </c>
    </row>
    <row r="3" spans="1:9" ht="18.5" x14ac:dyDescent="0.45">
      <c r="A3" s="67" t="s">
        <v>15</v>
      </c>
      <c r="B3" s="67"/>
      <c r="C3" s="67"/>
      <c r="D3" s="67"/>
      <c r="E3" s="67"/>
      <c r="F3" s="67"/>
      <c r="G3" s="67"/>
      <c r="H3" s="67"/>
      <c r="I3" s="67"/>
    </row>
    <row r="4" spans="1:9" x14ac:dyDescent="0.35">
      <c r="A4" s="29"/>
      <c r="B4" s="29"/>
      <c r="C4" s="31"/>
      <c r="D4" s="31"/>
      <c r="E4" s="31"/>
      <c r="F4" s="31"/>
      <c r="G4" s="29"/>
      <c r="H4" s="29"/>
      <c r="I4" s="30"/>
    </row>
    <row r="5" spans="1:9" x14ac:dyDescent="0.35">
      <c r="A5" s="29"/>
      <c r="B5" s="32" t="s">
        <v>1</v>
      </c>
      <c r="C5" s="33"/>
      <c r="D5" s="34"/>
      <c r="E5" s="32" t="s">
        <v>23</v>
      </c>
      <c r="F5" s="29"/>
      <c r="G5" s="49"/>
      <c r="H5" s="49"/>
      <c r="I5" s="29"/>
    </row>
    <row r="6" spans="1:9" x14ac:dyDescent="0.35">
      <c r="A6" s="29"/>
      <c r="B6" s="32" t="s">
        <v>2</v>
      </c>
      <c r="C6" s="33"/>
      <c r="D6" s="34"/>
      <c r="E6" s="32" t="s">
        <v>20</v>
      </c>
      <c r="F6" s="29"/>
      <c r="G6" s="50"/>
      <c r="H6" s="50"/>
      <c r="I6" s="29"/>
    </row>
    <row r="7" spans="1:9" x14ac:dyDescent="0.35">
      <c r="A7" s="29"/>
      <c r="B7" s="32" t="s">
        <v>3</v>
      </c>
      <c r="C7" s="33"/>
      <c r="D7" s="34"/>
      <c r="E7" s="32" t="s">
        <v>21</v>
      </c>
      <c r="F7" s="29"/>
      <c r="G7" s="50"/>
      <c r="H7" s="50"/>
      <c r="I7" s="29"/>
    </row>
    <row r="8" spans="1:9" x14ac:dyDescent="0.35">
      <c r="A8" s="29"/>
      <c r="B8" s="32" t="s">
        <v>4</v>
      </c>
      <c r="C8" s="33"/>
      <c r="D8" s="34"/>
      <c r="E8" s="32" t="s">
        <v>22</v>
      </c>
      <c r="F8" s="29"/>
      <c r="G8" s="50"/>
      <c r="H8" s="50"/>
      <c r="I8" s="29"/>
    </row>
    <row r="9" spans="1:9" ht="15" thickBot="1" x14ac:dyDescent="0.4">
      <c r="A9" s="29"/>
      <c r="B9" s="29"/>
      <c r="C9" s="29"/>
      <c r="D9" s="35"/>
      <c r="E9" s="35"/>
      <c r="F9" s="35"/>
      <c r="G9" s="35"/>
      <c r="H9" s="35"/>
      <c r="I9" s="29"/>
    </row>
    <row r="10" spans="1:9" x14ac:dyDescent="0.35">
      <c r="B10" s="66" t="s">
        <v>5</v>
      </c>
      <c r="C10" s="64"/>
      <c r="D10" s="51" t="s">
        <v>11</v>
      </c>
      <c r="E10" s="63"/>
      <c r="F10" s="63"/>
      <c r="G10" s="63"/>
      <c r="H10" s="52"/>
      <c r="I10" s="64" t="s">
        <v>12</v>
      </c>
    </row>
    <row r="11" spans="1:9" ht="15" thickBot="1" x14ac:dyDescent="0.4">
      <c r="B11" s="18" t="s">
        <v>24</v>
      </c>
      <c r="C11" s="19" t="s">
        <v>25</v>
      </c>
      <c r="D11" s="20" t="s">
        <v>6</v>
      </c>
      <c r="E11" s="21" t="s">
        <v>7</v>
      </c>
      <c r="F11" s="21" t="s">
        <v>8</v>
      </c>
      <c r="G11" s="21" t="s">
        <v>9</v>
      </c>
      <c r="H11" s="22" t="s">
        <v>10</v>
      </c>
      <c r="I11" s="65"/>
    </row>
    <row r="12" spans="1:9" x14ac:dyDescent="0.35">
      <c r="B12" s="37"/>
      <c r="C12" s="36" t="str">
        <f>IF(B12&lt;&gt;"",VLOOKUP(VPX!B12,'[1]TN Plants'!$A:$B,2,FALSE),"")</f>
        <v/>
      </c>
      <c r="D12" s="14"/>
      <c r="E12" s="15"/>
      <c r="F12" s="15"/>
      <c r="G12" s="15"/>
      <c r="H12" s="16"/>
      <c r="I12" s="17" t="str">
        <f t="shared" ref="I12:I27" si="0">IF(SUM(D12:H12)&lt;&gt;0,SUM(D12:H12),"")</f>
        <v/>
      </c>
    </row>
    <row r="13" spans="1:9" x14ac:dyDescent="0.35">
      <c r="B13" s="38"/>
      <c r="C13" s="36" t="str">
        <f>IF(B13&lt;&gt;"",VLOOKUP(VPX!B13,'[1]TN Plants'!$A:$B,2,FALSE),"")</f>
        <v/>
      </c>
      <c r="D13" s="2"/>
      <c r="E13" s="3"/>
      <c r="F13" s="3"/>
      <c r="G13" s="3"/>
      <c r="H13" s="4"/>
      <c r="I13" s="5" t="str">
        <f t="shared" si="0"/>
        <v/>
      </c>
    </row>
    <row r="14" spans="1:9" x14ac:dyDescent="0.35">
      <c r="B14" s="38"/>
      <c r="C14" s="36" t="str">
        <f>IF(B14&lt;&gt;"",VLOOKUP(VPX!B14,'[1]TN Plants'!$A:$B,2,FALSE),"")</f>
        <v/>
      </c>
      <c r="D14" s="2"/>
      <c r="E14" s="3"/>
      <c r="F14" s="3"/>
      <c r="G14" s="3"/>
      <c r="H14" s="4"/>
      <c r="I14" s="5" t="str">
        <f t="shared" si="0"/>
        <v/>
      </c>
    </row>
    <row r="15" spans="1:9" x14ac:dyDescent="0.35">
      <c r="B15" s="38"/>
      <c r="C15" s="36" t="str">
        <f>IF(B15&lt;&gt;"",VLOOKUP(VPX!B15,'[1]TN Plants'!$A:$B,2,FALSE),"")</f>
        <v/>
      </c>
      <c r="D15" s="2"/>
      <c r="E15" s="3"/>
      <c r="F15" s="3"/>
      <c r="G15" s="3"/>
      <c r="H15" s="4"/>
      <c r="I15" s="5" t="str">
        <f t="shared" si="0"/>
        <v/>
      </c>
    </row>
    <row r="16" spans="1:9" x14ac:dyDescent="0.35">
      <c r="B16" s="38"/>
      <c r="C16" s="36" t="str">
        <f>IF(B16&lt;&gt;"",VLOOKUP(VPX!B16,'[1]TN Plants'!$A:$B,2,FALSE),"")</f>
        <v/>
      </c>
      <c r="D16" s="2"/>
      <c r="E16" s="3"/>
      <c r="F16" s="3"/>
      <c r="G16" s="3"/>
      <c r="H16" s="4"/>
      <c r="I16" s="5" t="str">
        <f t="shared" si="0"/>
        <v/>
      </c>
    </row>
    <row r="17" spans="2:9" x14ac:dyDescent="0.35">
      <c r="B17" s="38"/>
      <c r="C17" s="36" t="str">
        <f>IF(B17&lt;&gt;"",VLOOKUP(VPX!B17,'[1]TN Plants'!$A:$B,2,FALSE),"")</f>
        <v/>
      </c>
      <c r="D17" s="2"/>
      <c r="E17" s="3"/>
      <c r="F17" s="3"/>
      <c r="G17" s="3"/>
      <c r="H17" s="4"/>
      <c r="I17" s="5" t="str">
        <f t="shared" si="0"/>
        <v/>
      </c>
    </row>
    <row r="18" spans="2:9" x14ac:dyDescent="0.35">
      <c r="B18" s="38"/>
      <c r="C18" s="36" t="str">
        <f>IF(B18&lt;&gt;"",VLOOKUP(VPX!B18,'[1]TN Plants'!$A:$B,2,FALSE),"")</f>
        <v/>
      </c>
      <c r="D18" s="2"/>
      <c r="E18" s="3"/>
      <c r="F18" s="3"/>
      <c r="G18" s="3"/>
      <c r="H18" s="4"/>
      <c r="I18" s="5" t="str">
        <f t="shared" si="0"/>
        <v/>
      </c>
    </row>
    <row r="19" spans="2:9" x14ac:dyDescent="0.35">
      <c r="B19" s="38"/>
      <c r="C19" s="36" t="str">
        <f>IF(B19&lt;&gt;"",VLOOKUP(VPX!B19,'[1]TN Plants'!$A:$B,2,FALSE),"")</f>
        <v/>
      </c>
      <c r="D19" s="2"/>
      <c r="E19" s="3"/>
      <c r="F19" s="3"/>
      <c r="G19" s="3"/>
      <c r="H19" s="4"/>
      <c r="I19" s="5" t="str">
        <f t="shared" si="0"/>
        <v/>
      </c>
    </row>
    <row r="20" spans="2:9" x14ac:dyDescent="0.35">
      <c r="B20" s="38"/>
      <c r="C20" s="36" t="str">
        <f>IF(B20&lt;&gt;"",VLOOKUP(VPX!B20,'[1]TN Plants'!$A:$B,2,FALSE),"")</f>
        <v/>
      </c>
      <c r="D20" s="2"/>
      <c r="E20" s="3"/>
      <c r="F20" s="3"/>
      <c r="G20" s="3"/>
      <c r="H20" s="4"/>
      <c r="I20" s="5" t="str">
        <f t="shared" si="0"/>
        <v/>
      </c>
    </row>
    <row r="21" spans="2:9" x14ac:dyDescent="0.35">
      <c r="B21" s="38"/>
      <c r="C21" s="36" t="str">
        <f>IF(B21&lt;&gt;"",VLOOKUP(VPX!B21,'[1]TN Plants'!$A:$B,2,FALSE),"")</f>
        <v/>
      </c>
      <c r="D21" s="2"/>
      <c r="E21" s="3"/>
      <c r="F21" s="3"/>
      <c r="G21" s="3"/>
      <c r="H21" s="4"/>
      <c r="I21" s="5" t="str">
        <f t="shared" si="0"/>
        <v/>
      </c>
    </row>
    <row r="22" spans="2:9" x14ac:dyDescent="0.35">
      <c r="B22" s="38"/>
      <c r="C22" s="36" t="str">
        <f>IF(B22&lt;&gt;"",VLOOKUP(VPX!B22,'[1]TN Plants'!$A:$B,2,FALSE),"")</f>
        <v/>
      </c>
      <c r="D22" s="2"/>
      <c r="E22" s="3"/>
      <c r="F22" s="3"/>
      <c r="G22" s="3"/>
      <c r="H22" s="4"/>
      <c r="I22" s="5" t="str">
        <f t="shared" si="0"/>
        <v/>
      </c>
    </row>
    <row r="23" spans="2:9" x14ac:dyDescent="0.35">
      <c r="B23" s="38"/>
      <c r="C23" s="36" t="str">
        <f>IF(B23&lt;&gt;"",VLOOKUP(VPX!B23,'[1]TN Plants'!$A:$B,2,FALSE),"")</f>
        <v/>
      </c>
      <c r="D23" s="2"/>
      <c r="E23" s="3"/>
      <c r="F23" s="3"/>
      <c r="G23" s="3"/>
      <c r="H23" s="4"/>
      <c r="I23" s="5" t="str">
        <f t="shared" si="0"/>
        <v/>
      </c>
    </row>
    <row r="24" spans="2:9" x14ac:dyDescent="0.35">
      <c r="B24" s="38"/>
      <c r="C24" s="36" t="str">
        <f>IF(B24&lt;&gt;"",VLOOKUP(VPX!B24,'[1]TN Plants'!$A:$B,2,FALSE),"")</f>
        <v/>
      </c>
      <c r="D24" s="2"/>
      <c r="E24" s="3"/>
      <c r="F24" s="3"/>
      <c r="G24" s="3"/>
      <c r="H24" s="4"/>
      <c r="I24" s="5" t="str">
        <f t="shared" si="0"/>
        <v/>
      </c>
    </row>
    <row r="25" spans="2:9" x14ac:dyDescent="0.35">
      <c r="B25" s="38"/>
      <c r="C25" s="36" t="str">
        <f>IF(B25&lt;&gt;"",VLOOKUP(VPX!B25,'[1]TN Plants'!$A:$B,2,FALSE),"")</f>
        <v/>
      </c>
      <c r="D25" s="2"/>
      <c r="E25" s="3"/>
      <c r="F25" s="3"/>
      <c r="G25" s="3"/>
      <c r="H25" s="4"/>
      <c r="I25" s="5" t="str">
        <f t="shared" si="0"/>
        <v/>
      </c>
    </row>
    <row r="26" spans="2:9" x14ac:dyDescent="0.35">
      <c r="B26" s="38"/>
      <c r="C26" s="36" t="str">
        <f>IF(B26&lt;&gt;"",VLOOKUP(VPX!B26,'[1]TN Plants'!$A:$B,2,FALSE),"")</f>
        <v/>
      </c>
      <c r="D26" s="2"/>
      <c r="E26" s="3"/>
      <c r="F26" s="3"/>
      <c r="G26" s="3"/>
      <c r="H26" s="4"/>
      <c r="I26" s="5" t="str">
        <f t="shared" si="0"/>
        <v/>
      </c>
    </row>
    <row r="27" spans="2:9" x14ac:dyDescent="0.35">
      <c r="B27" s="38"/>
      <c r="C27" s="36" t="str">
        <f>IF(B27&lt;&gt;"",VLOOKUP(VPX!B27,'[1]TN Plants'!$A:$B,2,FALSE),"")</f>
        <v/>
      </c>
      <c r="D27" s="2"/>
      <c r="E27" s="3"/>
      <c r="F27" s="3"/>
      <c r="G27" s="3"/>
      <c r="H27" s="4"/>
      <c r="I27" s="5" t="str">
        <f t="shared" si="0"/>
        <v/>
      </c>
    </row>
    <row r="28" spans="2:9" ht="15" thickBot="1" x14ac:dyDescent="0.4">
      <c r="B28" s="41"/>
      <c r="C28" s="36" t="str">
        <f>IF(B28&lt;&gt;"",VLOOKUP(VPX!B28,'[1]TN Plants'!$A:$B,2,FALSE),"")</f>
        <v/>
      </c>
      <c r="D28" s="6"/>
      <c r="E28" s="7"/>
      <c r="F28" s="7"/>
      <c r="G28" s="7"/>
      <c r="H28" s="8"/>
      <c r="I28" s="9" t="str">
        <f>IF(SUM(D28:H28)&lt;&gt;0,SUM(D28:H28),"")</f>
        <v/>
      </c>
    </row>
    <row r="29" spans="2:9" ht="15" thickBot="1" x14ac:dyDescent="0.4">
      <c r="B29" s="55" t="s">
        <v>16</v>
      </c>
      <c r="C29" s="56"/>
      <c r="D29" s="10" t="str">
        <f>IF(SUM(D12:D28)&lt;&gt;0,SUM(D12:D28),"")</f>
        <v/>
      </c>
      <c r="E29" s="11" t="str">
        <f t="shared" ref="E29:I29" si="1">IF(SUM(E12:E28)&lt;&gt;0,SUM(E12:E28),"")</f>
        <v/>
      </c>
      <c r="F29" s="11" t="str">
        <f t="shared" si="1"/>
        <v/>
      </c>
      <c r="G29" s="11" t="str">
        <f t="shared" si="1"/>
        <v/>
      </c>
      <c r="H29" s="12" t="str">
        <f t="shared" si="1"/>
        <v/>
      </c>
      <c r="I29" s="13" t="str">
        <f t="shared" si="1"/>
        <v/>
      </c>
    </row>
    <row r="30" spans="2:9" ht="15" thickBot="1" x14ac:dyDescent="0.4"/>
    <row r="31" spans="2:9" ht="15" thickBot="1" x14ac:dyDescent="0.4">
      <c r="B31" s="51" t="s">
        <v>18</v>
      </c>
      <c r="C31" s="52"/>
      <c r="D31" s="58" t="s">
        <v>17</v>
      </c>
      <c r="F31" s="55" t="s">
        <v>19</v>
      </c>
      <c r="G31" s="56"/>
      <c r="H31" s="56"/>
      <c r="I31" s="57"/>
    </row>
    <row r="32" spans="2:9" ht="15" thickBot="1" x14ac:dyDescent="0.4">
      <c r="B32" s="18" t="s">
        <v>24</v>
      </c>
      <c r="C32" s="23" t="s">
        <v>25</v>
      </c>
      <c r="D32" s="59"/>
      <c r="F32" s="60"/>
      <c r="G32" s="61"/>
      <c r="H32" s="61"/>
      <c r="I32" s="62"/>
    </row>
    <row r="33" spans="2:9" x14ac:dyDescent="0.35">
      <c r="B33" s="37"/>
      <c r="C33" s="39" t="str">
        <f>IF(B33&lt;&gt;"",VLOOKUP(VPX!B33,'[1]TN Plants'!$A:$B,2,FALSE),"")</f>
        <v/>
      </c>
      <c r="D33" s="17"/>
      <c r="F33" s="43"/>
      <c r="G33" s="44"/>
      <c r="H33" s="44"/>
      <c r="I33" s="45"/>
    </row>
    <row r="34" spans="2:9" x14ac:dyDescent="0.35">
      <c r="B34" s="38"/>
      <c r="C34" s="40" t="str">
        <f>IF(B34&lt;&gt;"",VLOOKUP(VPX!B34,'[1]TN Plants'!$A:$B,2,FALSE),"")</f>
        <v/>
      </c>
      <c r="D34" s="5"/>
      <c r="F34" s="43"/>
      <c r="G34" s="44"/>
      <c r="H34" s="44"/>
      <c r="I34" s="45"/>
    </row>
    <row r="35" spans="2:9" x14ac:dyDescent="0.35">
      <c r="B35" s="38"/>
      <c r="C35" s="40" t="str">
        <f>IF(B35&lt;&gt;"",VLOOKUP(VPX!B35,'[1]TN Plants'!$A:$B,2,FALSE),"")</f>
        <v/>
      </c>
      <c r="D35" s="5"/>
      <c r="F35" s="43"/>
      <c r="G35" s="44"/>
      <c r="H35" s="44"/>
      <c r="I35" s="45"/>
    </row>
    <row r="36" spans="2:9" x14ac:dyDescent="0.35">
      <c r="B36" s="38"/>
      <c r="C36" s="40" t="str">
        <f>IF(B36&lt;&gt;"",VLOOKUP(VPX!B36,'[1]TN Plants'!$A:$B,2,FALSE),"")</f>
        <v/>
      </c>
      <c r="D36" s="5"/>
      <c r="F36" s="43"/>
      <c r="G36" s="44"/>
      <c r="H36" s="44"/>
      <c r="I36" s="45"/>
    </row>
    <row r="37" spans="2:9" ht="15" thickBot="1" x14ac:dyDescent="0.4">
      <c r="B37" s="41"/>
      <c r="C37" s="42" t="str">
        <f>IF(B37&lt;&gt;"",VLOOKUP(VPX!B37,'[1]TN Plants'!$A:$B,2,FALSE),"")</f>
        <v/>
      </c>
      <c r="D37" s="25"/>
      <c r="F37" s="43"/>
      <c r="G37" s="44"/>
      <c r="H37" s="44"/>
      <c r="I37" s="45"/>
    </row>
    <row r="38" spans="2:9" ht="15" thickBot="1" x14ac:dyDescent="0.4">
      <c r="B38" s="53" t="s">
        <v>16</v>
      </c>
      <c r="C38" s="54"/>
      <c r="D38" s="24">
        <f>SUM(D33:D37)</f>
        <v>0</v>
      </c>
      <c r="F38" s="46"/>
      <c r="G38" s="47"/>
      <c r="H38" s="47"/>
      <c r="I38" s="48"/>
    </row>
    <row r="39" spans="2:9" ht="15" thickBot="1" x14ac:dyDescent="0.4"/>
    <row r="40" spans="2:9" x14ac:dyDescent="0.35">
      <c r="B40" s="66" t="s">
        <v>26</v>
      </c>
      <c r="C40" s="64"/>
      <c r="D40" s="51" t="s">
        <v>11</v>
      </c>
      <c r="E40" s="63"/>
      <c r="F40" s="63"/>
      <c r="G40" s="63"/>
      <c r="H40" s="52"/>
      <c r="I40" s="64" t="s">
        <v>12</v>
      </c>
    </row>
    <row r="41" spans="2:9" ht="15" thickBot="1" x14ac:dyDescent="0.4">
      <c r="B41" s="18" t="s">
        <v>24</v>
      </c>
      <c r="C41" s="19" t="s">
        <v>25</v>
      </c>
      <c r="D41" s="20" t="s">
        <v>6</v>
      </c>
      <c r="E41" s="21" t="s">
        <v>7</v>
      </c>
      <c r="F41" s="21" t="s">
        <v>8</v>
      </c>
      <c r="G41" s="21" t="s">
        <v>9</v>
      </c>
      <c r="H41" s="22" t="s">
        <v>10</v>
      </c>
      <c r="I41" s="65"/>
    </row>
    <row r="42" spans="2:9" x14ac:dyDescent="0.35">
      <c r="B42" s="37"/>
      <c r="C42" s="36" t="str">
        <f>IF(B42&lt;&gt;"",VLOOKUP(VPX!B42,'[1]TN Plants'!$A:$B,2,FALSE),"")</f>
        <v/>
      </c>
      <c r="D42" s="14"/>
      <c r="E42" s="15"/>
      <c r="F42" s="15"/>
      <c r="G42" s="15"/>
      <c r="H42" s="16"/>
      <c r="I42" s="17" t="str">
        <f t="shared" ref="I42:I46" si="2">IF(SUM(D42:H42)&lt;&gt;0,SUM(D42:H42),"")</f>
        <v/>
      </c>
    </row>
    <row r="43" spans="2:9" x14ac:dyDescent="0.35">
      <c r="B43" s="38"/>
      <c r="C43" s="36" t="str">
        <f>IF(B43&lt;&gt;"",VLOOKUP(VPX!B43,'[1]TN Plants'!$A:$B,2,FALSE),"")</f>
        <v/>
      </c>
      <c r="D43" s="2"/>
      <c r="E43" s="3"/>
      <c r="F43" s="3"/>
      <c r="G43" s="3"/>
      <c r="H43" s="4"/>
      <c r="I43" s="5" t="str">
        <f t="shared" si="2"/>
        <v/>
      </c>
    </row>
    <row r="44" spans="2:9" x14ac:dyDescent="0.35">
      <c r="B44" s="38"/>
      <c r="C44" s="36" t="str">
        <f>IF(B44&lt;&gt;"",VLOOKUP(VPX!B44,'[1]TN Plants'!$A:$B,2,FALSE),"")</f>
        <v/>
      </c>
      <c r="D44" s="2"/>
      <c r="E44" s="3"/>
      <c r="F44" s="3"/>
      <c r="G44" s="3"/>
      <c r="H44" s="4"/>
      <c r="I44" s="5" t="str">
        <f t="shared" si="2"/>
        <v/>
      </c>
    </row>
    <row r="45" spans="2:9" x14ac:dyDescent="0.35">
      <c r="B45" s="38"/>
      <c r="C45" s="36" t="str">
        <f>IF(B45&lt;&gt;"",VLOOKUP(VPX!B45,'[1]TN Plants'!$A:$B,2,FALSE),"")</f>
        <v/>
      </c>
      <c r="D45" s="2"/>
      <c r="E45" s="3"/>
      <c r="F45" s="3"/>
      <c r="G45" s="3"/>
      <c r="H45" s="4"/>
      <c r="I45" s="5" t="str">
        <f t="shared" si="2"/>
        <v/>
      </c>
    </row>
    <row r="46" spans="2:9" ht="15" thickBot="1" x14ac:dyDescent="0.4">
      <c r="B46" s="38"/>
      <c r="C46" s="36" t="str">
        <f>IF(B46&lt;&gt;"",VLOOKUP(VPX!B46,'[1]TN Plants'!$A:$B,2,FALSE),"")</f>
        <v/>
      </c>
      <c r="D46" s="2"/>
      <c r="E46" s="3"/>
      <c r="F46" s="3"/>
      <c r="G46" s="3"/>
      <c r="H46" s="4"/>
      <c r="I46" s="5" t="str">
        <f t="shared" si="2"/>
        <v/>
      </c>
    </row>
    <row r="47" spans="2:9" ht="15" thickBot="1" x14ac:dyDescent="0.4">
      <c r="B47" s="55" t="s">
        <v>16</v>
      </c>
      <c r="C47" s="56"/>
      <c r="D47" s="10" t="str">
        <f>IF(SUM(D42:D46)&lt;&gt;0,SUM(D42:D46),"")</f>
        <v/>
      </c>
      <c r="E47" s="11" t="str">
        <f t="shared" ref="E47:I47" si="3">IF(SUM(E42:E46)&lt;&gt;0,SUM(E42:E46),"")</f>
        <v/>
      </c>
      <c r="F47" s="11" t="str">
        <f t="shared" si="3"/>
        <v/>
      </c>
      <c r="G47" s="11" t="str">
        <f t="shared" si="3"/>
        <v/>
      </c>
      <c r="H47" s="12" t="str">
        <f t="shared" si="3"/>
        <v/>
      </c>
      <c r="I47" s="13" t="str">
        <f t="shared" si="3"/>
        <v/>
      </c>
    </row>
  </sheetData>
  <mergeCells count="24">
    <mergeCell ref="B47:C47"/>
    <mergeCell ref="B10:C10"/>
    <mergeCell ref="A3:I3"/>
    <mergeCell ref="B40:C40"/>
    <mergeCell ref="D40:H40"/>
    <mergeCell ref="I40:I41"/>
    <mergeCell ref="B31:C31"/>
    <mergeCell ref="B38:C38"/>
    <mergeCell ref="B29:C29"/>
    <mergeCell ref="F31:I31"/>
    <mergeCell ref="D31:D32"/>
    <mergeCell ref="F32:I32"/>
    <mergeCell ref="F33:I33"/>
    <mergeCell ref="F34:I34"/>
    <mergeCell ref="F35:I35"/>
    <mergeCell ref="F36:I36"/>
    <mergeCell ref="F37:I37"/>
    <mergeCell ref="F38:I38"/>
    <mergeCell ref="G5:H5"/>
    <mergeCell ref="G6:H6"/>
    <mergeCell ref="G7:H7"/>
    <mergeCell ref="G8:H8"/>
    <mergeCell ref="D10:H10"/>
    <mergeCell ref="I10:I11"/>
  </mergeCells>
  <conditionalFormatting sqref="C12:C28">
    <cfRule type="expression" dxfId="3" priority="3">
      <formula>ISERROR(C12)</formula>
    </cfRule>
  </conditionalFormatting>
  <conditionalFormatting sqref="C33:C37">
    <cfRule type="expression" dxfId="4" priority="2">
      <formula>ISERROR(C33)</formula>
    </cfRule>
  </conditionalFormatting>
  <conditionalFormatting sqref="C42:C46">
    <cfRule type="expression" dxfId="1" priority="1">
      <formula>ISERROR(C42)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VPX</vt:lpstr>
      <vt:lpstr>VPX!Print_Area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2018-09-10T20:17:45Z</dcterms:modified>
</cp:coreProperties>
</file>