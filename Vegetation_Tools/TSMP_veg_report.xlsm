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X:\Environmental_Tools\Vegetation Tools\"/>
    </mc:Choice>
  </mc:AlternateContent>
  <bookViews>
    <workbookView xWindow="240" yWindow="210" windowWidth="11450" windowHeight="7100"/>
  </bookViews>
  <sheets>
    <sheet name="MY1" sheetId="66" r:id="rId1"/>
    <sheet name="MY1-Reduced" sheetId="71" r:id="rId2"/>
    <sheet name="VP1" sheetId="69" r:id="rId3"/>
    <sheet name="VP2" sheetId="70" r:id="rId4"/>
  </sheets>
  <externalReferences>
    <externalReference r:id="rId5"/>
  </externalReferences>
  <definedNames>
    <definedName name="os" localSheetId="0">'MY1'!$J$15</definedName>
    <definedName name="os" localSheetId="1">'MY1-Reduced'!$J$15</definedName>
    <definedName name="_xlnm.Print_Area" localSheetId="2">'VP1'!$A$1:$I$38</definedName>
    <definedName name="_xlnm.Print_Area" localSheetId="3">'VP2'!$A$1:$I$38</definedName>
    <definedName name="Totalplots" localSheetId="0">'MY1'!$B$2</definedName>
    <definedName name="Totalplots" localSheetId="1">'MY1-Reduced'!$B$2</definedName>
  </definedNames>
  <calcPr calcId="152511"/>
</workbook>
</file>

<file path=xl/calcChain.xml><?xml version="1.0" encoding="utf-8"?>
<calcChain xmlns="http://schemas.openxmlformats.org/spreadsheetml/2006/main">
  <c r="D91" i="71" l="1"/>
  <c r="D92" i="71" s="1"/>
  <c r="BK83" i="71"/>
  <c r="BJ83" i="71"/>
  <c r="BI83" i="71"/>
  <c r="BH83" i="71"/>
  <c r="BG83" i="71"/>
  <c r="BF83" i="71"/>
  <c r="BE83" i="71"/>
  <c r="BD83" i="71"/>
  <c r="BC83" i="71"/>
  <c r="BB83" i="71"/>
  <c r="BA83" i="71"/>
  <c r="AZ83" i="71"/>
  <c r="AY83" i="71"/>
  <c r="AX83" i="71"/>
  <c r="AW83" i="71"/>
  <c r="AV83" i="71"/>
  <c r="AU83" i="71"/>
  <c r="AT83" i="71"/>
  <c r="AS83" i="71"/>
  <c r="AR83" i="71"/>
  <c r="AQ83" i="71"/>
  <c r="AP83" i="71"/>
  <c r="AO83" i="71"/>
  <c r="AN83" i="71"/>
  <c r="AM83" i="71"/>
  <c r="AL83" i="71"/>
  <c r="AK83" i="71"/>
  <c r="AJ83" i="71"/>
  <c r="AI83" i="71"/>
  <c r="AH83" i="71"/>
  <c r="AG83" i="71"/>
  <c r="AF83" i="71"/>
  <c r="AE83" i="71"/>
  <c r="AD83" i="71"/>
  <c r="AC83" i="71"/>
  <c r="AB83" i="71"/>
  <c r="AA83" i="71"/>
  <c r="Z83" i="71"/>
  <c r="Y83" i="71"/>
  <c r="X83" i="71"/>
  <c r="W83" i="71"/>
  <c r="V83" i="71"/>
  <c r="U83" i="71"/>
  <c r="T83" i="71"/>
  <c r="S83" i="71"/>
  <c r="R83" i="71"/>
  <c r="Q83" i="71"/>
  <c r="P83" i="71"/>
  <c r="O83" i="71"/>
  <c r="N83" i="71"/>
  <c r="M83" i="71"/>
  <c r="L83" i="71"/>
  <c r="G83" i="71"/>
  <c r="F83" i="71"/>
  <c r="E83" i="71"/>
  <c r="D83" i="71"/>
  <c r="C83" i="71"/>
  <c r="H82" i="71"/>
  <c r="H81" i="71"/>
  <c r="H80" i="71"/>
  <c r="H79" i="71"/>
  <c r="H78" i="71"/>
  <c r="BK67" i="71"/>
  <c r="BH67" i="71"/>
  <c r="BG67" i="71"/>
  <c r="BD67" i="71"/>
  <c r="BC67" i="71"/>
  <c r="AZ67" i="71"/>
  <c r="AY67" i="71"/>
  <c r="AV67" i="71"/>
  <c r="AU67" i="71"/>
  <c r="AR67" i="71"/>
  <c r="AQ67" i="71"/>
  <c r="AN67" i="71"/>
  <c r="AM67" i="71"/>
  <c r="AJ67" i="71"/>
  <c r="AI67" i="71"/>
  <c r="AF67" i="71"/>
  <c r="AE67" i="71"/>
  <c r="AB67" i="71"/>
  <c r="AA67" i="71"/>
  <c r="X67" i="71"/>
  <c r="W67" i="71"/>
  <c r="T67" i="71"/>
  <c r="S67" i="71"/>
  <c r="P67" i="71"/>
  <c r="O67" i="71"/>
  <c r="L67" i="71"/>
  <c r="BK66" i="71"/>
  <c r="BJ66" i="71"/>
  <c r="BJ67" i="71" s="1"/>
  <c r="BI66" i="71"/>
  <c r="BI67" i="71" s="1"/>
  <c r="BH66" i="71"/>
  <c r="BG66" i="71"/>
  <c r="BF66" i="71"/>
  <c r="BF67" i="71" s="1"/>
  <c r="BE66" i="71"/>
  <c r="BE67" i="71" s="1"/>
  <c r="BD66" i="71"/>
  <c r="BC66" i="71"/>
  <c r="BB66" i="71"/>
  <c r="BB67" i="71" s="1"/>
  <c r="BA66" i="71"/>
  <c r="BA67" i="71" s="1"/>
  <c r="AZ66" i="71"/>
  <c r="AY66" i="71"/>
  <c r="AX66" i="71"/>
  <c r="AX67" i="71" s="1"/>
  <c r="AW66" i="71"/>
  <c r="AW67" i="71" s="1"/>
  <c r="AV66" i="71"/>
  <c r="AU66" i="71"/>
  <c r="AT66" i="71"/>
  <c r="AT67" i="71" s="1"/>
  <c r="AS66" i="71"/>
  <c r="AS67" i="71" s="1"/>
  <c r="AR66" i="71"/>
  <c r="AQ66" i="71"/>
  <c r="AP66" i="71"/>
  <c r="AP67" i="71" s="1"/>
  <c r="AO66" i="71"/>
  <c r="AO67" i="71" s="1"/>
  <c r="AN66" i="71"/>
  <c r="AM66" i="71"/>
  <c r="AL66" i="71"/>
  <c r="AL67" i="71" s="1"/>
  <c r="AK66" i="71"/>
  <c r="AK67" i="71" s="1"/>
  <c r="AJ66" i="71"/>
  <c r="AI66" i="71"/>
  <c r="AH66" i="71"/>
  <c r="AH67" i="71" s="1"/>
  <c r="AG66" i="71"/>
  <c r="AG67" i="71" s="1"/>
  <c r="AF66" i="71"/>
  <c r="AE66" i="71"/>
  <c r="AD66" i="71"/>
  <c r="AD67" i="71" s="1"/>
  <c r="AC66" i="71"/>
  <c r="AC67" i="71" s="1"/>
  <c r="AB66" i="71"/>
  <c r="AA66" i="71"/>
  <c r="Z66" i="71"/>
  <c r="Z67" i="71" s="1"/>
  <c r="Y66" i="71"/>
  <c r="Y67" i="71" s="1"/>
  <c r="X66" i="71"/>
  <c r="W66" i="71"/>
  <c r="V66" i="71"/>
  <c r="V67" i="71" s="1"/>
  <c r="U66" i="71"/>
  <c r="U67" i="71" s="1"/>
  <c r="T66" i="71"/>
  <c r="S66" i="71"/>
  <c r="R66" i="71"/>
  <c r="R67" i="71" s="1"/>
  <c r="Q66" i="71"/>
  <c r="Q67" i="71" s="1"/>
  <c r="P66" i="71"/>
  <c r="O66" i="71"/>
  <c r="N66" i="71"/>
  <c r="N67" i="71" s="1"/>
  <c r="M66" i="71"/>
  <c r="M67" i="71" s="1"/>
  <c r="L66" i="71"/>
  <c r="BH65" i="71"/>
  <c r="BD65" i="71"/>
  <c r="AZ65" i="71"/>
  <c r="AV65" i="71"/>
  <c r="AR65" i="71"/>
  <c r="AN65" i="71"/>
  <c r="AJ65" i="71"/>
  <c r="AF65" i="71"/>
  <c r="AB65" i="71"/>
  <c r="X65" i="71"/>
  <c r="T65" i="71"/>
  <c r="P65" i="71"/>
  <c r="L65" i="71"/>
  <c r="BK64" i="71"/>
  <c r="BK65" i="71" s="1"/>
  <c r="BJ64" i="71"/>
  <c r="BJ65" i="71" s="1"/>
  <c r="BI64" i="71"/>
  <c r="BI65" i="71" s="1"/>
  <c r="BH64" i="71"/>
  <c r="BG64" i="71"/>
  <c r="BG65" i="71" s="1"/>
  <c r="BF64" i="71"/>
  <c r="BF65" i="71" s="1"/>
  <c r="BE64" i="71"/>
  <c r="BE65" i="71" s="1"/>
  <c r="BD64" i="71"/>
  <c r="BC64" i="71"/>
  <c r="BC65" i="71" s="1"/>
  <c r="BB64" i="71"/>
  <c r="BB65" i="71" s="1"/>
  <c r="BA64" i="71"/>
  <c r="BA65" i="71" s="1"/>
  <c r="AZ64" i="71"/>
  <c r="AY64" i="71"/>
  <c r="AY65" i="71" s="1"/>
  <c r="AX64" i="71"/>
  <c r="AX65" i="71" s="1"/>
  <c r="AW64" i="71"/>
  <c r="AW65" i="71" s="1"/>
  <c r="AV64" i="71"/>
  <c r="AU64" i="71"/>
  <c r="AU65" i="71" s="1"/>
  <c r="AT64" i="71"/>
  <c r="AT65" i="71" s="1"/>
  <c r="AS64" i="71"/>
  <c r="AS65" i="71" s="1"/>
  <c r="AR64" i="71"/>
  <c r="AQ64" i="71"/>
  <c r="AQ65" i="71" s="1"/>
  <c r="AP64" i="71"/>
  <c r="AP65" i="71" s="1"/>
  <c r="AO64" i="71"/>
  <c r="AO65" i="71" s="1"/>
  <c r="AN64" i="71"/>
  <c r="AM64" i="71"/>
  <c r="AM65" i="71" s="1"/>
  <c r="AL64" i="71"/>
  <c r="AL65" i="71" s="1"/>
  <c r="AK64" i="71"/>
  <c r="AK65" i="71" s="1"/>
  <c r="AJ64" i="71"/>
  <c r="AI64" i="71"/>
  <c r="AI65" i="71" s="1"/>
  <c r="AH64" i="71"/>
  <c r="AH65" i="71" s="1"/>
  <c r="AG64" i="71"/>
  <c r="AG65" i="71" s="1"/>
  <c r="AF64" i="71"/>
  <c r="AE64" i="71"/>
  <c r="AE65" i="71" s="1"/>
  <c r="AD64" i="71"/>
  <c r="AD65" i="71" s="1"/>
  <c r="AC64" i="71"/>
  <c r="AC65" i="71" s="1"/>
  <c r="AB64" i="71"/>
  <c r="AA64" i="71"/>
  <c r="AA65" i="71" s="1"/>
  <c r="Z64" i="71"/>
  <c r="Z65" i="71" s="1"/>
  <c r="Y64" i="71"/>
  <c r="Y65" i="71" s="1"/>
  <c r="X64" i="71"/>
  <c r="W64" i="71"/>
  <c r="W65" i="71" s="1"/>
  <c r="V64" i="71"/>
  <c r="V65" i="71" s="1"/>
  <c r="U64" i="71"/>
  <c r="U65" i="71" s="1"/>
  <c r="T64" i="71"/>
  <c r="S64" i="71"/>
  <c r="S65" i="71" s="1"/>
  <c r="R64" i="71"/>
  <c r="R65" i="71" s="1"/>
  <c r="Q64" i="71"/>
  <c r="Q65" i="71" s="1"/>
  <c r="P64" i="71"/>
  <c r="O64" i="71"/>
  <c r="O65" i="71" s="1"/>
  <c r="N64" i="71"/>
  <c r="N65" i="71" s="1"/>
  <c r="M64" i="71"/>
  <c r="M65" i="71" s="1"/>
  <c r="L64" i="71"/>
  <c r="BK62" i="71"/>
  <c r="BJ62" i="71"/>
  <c r="BI62" i="71"/>
  <c r="BH62" i="71"/>
  <c r="BG62" i="71"/>
  <c r="BF62" i="71"/>
  <c r="BE62" i="71"/>
  <c r="BD62" i="71"/>
  <c r="BC62" i="71"/>
  <c r="BB62" i="71"/>
  <c r="BA62" i="71"/>
  <c r="AZ62" i="71"/>
  <c r="AY62" i="71"/>
  <c r="AX62" i="71"/>
  <c r="AW62" i="71"/>
  <c r="AV62" i="71"/>
  <c r="AU62" i="71"/>
  <c r="AT62" i="71"/>
  <c r="AS62" i="71"/>
  <c r="AR62" i="71"/>
  <c r="AQ62" i="71"/>
  <c r="AP62" i="71"/>
  <c r="AO62" i="71"/>
  <c r="AN62" i="71"/>
  <c r="AM62" i="71"/>
  <c r="AL62" i="71"/>
  <c r="AK62" i="71"/>
  <c r="AJ62" i="71"/>
  <c r="AI62" i="71"/>
  <c r="AH62" i="71"/>
  <c r="AG62" i="71"/>
  <c r="AF62" i="71"/>
  <c r="AE62" i="71"/>
  <c r="AD62" i="71"/>
  <c r="AC62" i="71"/>
  <c r="AB62" i="71"/>
  <c r="AA62" i="71"/>
  <c r="Z62" i="71"/>
  <c r="Y62" i="71"/>
  <c r="X62" i="71"/>
  <c r="W62" i="71"/>
  <c r="V62" i="71"/>
  <c r="U62" i="71"/>
  <c r="T62" i="71"/>
  <c r="S62" i="71"/>
  <c r="R62" i="71"/>
  <c r="Q62" i="71"/>
  <c r="P62" i="71"/>
  <c r="O62" i="71"/>
  <c r="N62" i="71"/>
  <c r="M62" i="71"/>
  <c r="L62" i="71"/>
  <c r="G62" i="71"/>
  <c r="F62" i="71"/>
  <c r="E62" i="71"/>
  <c r="D62" i="71"/>
  <c r="C91" i="71" s="1"/>
  <c r="C92" i="71" s="1"/>
  <c r="C62" i="71"/>
  <c r="H61" i="71"/>
  <c r="H60" i="71"/>
  <c r="H59" i="71"/>
  <c r="H58" i="71"/>
  <c r="H57" i="71"/>
  <c r="H56" i="71"/>
  <c r="H55" i="71"/>
  <c r="H54" i="71"/>
  <c r="H53" i="71"/>
  <c r="H52" i="71"/>
  <c r="H51" i="71"/>
  <c r="H50" i="71"/>
  <c r="H49" i="71"/>
  <c r="H48" i="71"/>
  <c r="H47" i="71"/>
  <c r="H46" i="71"/>
  <c r="H45" i="71"/>
  <c r="H44" i="71"/>
  <c r="H43" i="71"/>
  <c r="H42" i="71"/>
  <c r="H41" i="71"/>
  <c r="H40" i="71"/>
  <c r="H39" i="71"/>
  <c r="H38" i="71"/>
  <c r="H37" i="71"/>
  <c r="H36" i="71"/>
  <c r="H35" i="71"/>
  <c r="H34" i="71"/>
  <c r="H33" i="71"/>
  <c r="H32" i="71"/>
  <c r="H31" i="71"/>
  <c r="H30" i="71"/>
  <c r="H29" i="71"/>
  <c r="H28" i="71"/>
  <c r="H27" i="71"/>
  <c r="H26" i="71"/>
  <c r="H25" i="71"/>
  <c r="H24" i="71"/>
  <c r="H23" i="71"/>
  <c r="H22" i="71"/>
  <c r="H21" i="71"/>
  <c r="H20" i="71"/>
  <c r="H19" i="71"/>
  <c r="H18" i="71"/>
  <c r="H17" i="71"/>
  <c r="H16" i="71"/>
  <c r="H15" i="71"/>
  <c r="H14" i="71"/>
  <c r="H13" i="71"/>
  <c r="H12" i="71"/>
  <c r="H11" i="71"/>
  <c r="H10" i="71"/>
  <c r="H9" i="71"/>
  <c r="H8" i="71"/>
  <c r="H7" i="71"/>
  <c r="H6" i="71"/>
  <c r="H5" i="71"/>
  <c r="BH64" i="66"/>
  <c r="BH65" i="66" s="1"/>
  <c r="BI62" i="66"/>
  <c r="BJ62" i="66"/>
  <c r="BK62" i="66"/>
  <c r="BI64" i="66"/>
  <c r="BJ64" i="66"/>
  <c r="BJ65" i="66" s="1"/>
  <c r="BK64" i="66"/>
  <c r="BK65" i="66" s="1"/>
  <c r="BI65" i="66"/>
  <c r="BI66" i="66"/>
  <c r="BI67" i="66" s="1"/>
  <c r="BJ66" i="66"/>
  <c r="BJ67" i="66" s="1"/>
  <c r="BK66" i="66"/>
  <c r="BK67" i="66" s="1"/>
  <c r="BH83" i="66"/>
  <c r="BI83" i="66"/>
  <c r="BJ83" i="66"/>
  <c r="BK83" i="66"/>
  <c r="J47" i="66"/>
  <c r="C83" i="66"/>
  <c r="D83" i="66"/>
  <c r="E83" i="66"/>
  <c r="F83" i="66"/>
  <c r="G83" i="66"/>
  <c r="D38" i="70"/>
  <c r="H47" i="70"/>
  <c r="G47" i="70"/>
  <c r="F47" i="70"/>
  <c r="E47" i="70"/>
  <c r="D47" i="70"/>
  <c r="I46" i="70"/>
  <c r="C46" i="70"/>
  <c r="I45" i="70"/>
  <c r="C45" i="70"/>
  <c r="I44" i="70"/>
  <c r="C44" i="70"/>
  <c r="I43" i="70"/>
  <c r="C43" i="70"/>
  <c r="I42" i="70"/>
  <c r="I47" i="70" s="1"/>
  <c r="C37" i="70"/>
  <c r="C36" i="70"/>
  <c r="C35" i="70"/>
  <c r="C34" i="70"/>
  <c r="H29" i="70"/>
  <c r="G29" i="70"/>
  <c r="F29" i="70"/>
  <c r="E29" i="70"/>
  <c r="D29" i="70"/>
  <c r="I28" i="70"/>
  <c r="C28" i="70"/>
  <c r="I27" i="70"/>
  <c r="C27" i="70"/>
  <c r="I26" i="70"/>
  <c r="C26" i="70"/>
  <c r="I25" i="70"/>
  <c r="C25" i="70"/>
  <c r="I24" i="70"/>
  <c r="C24" i="70"/>
  <c r="I23" i="70"/>
  <c r="C23" i="70"/>
  <c r="I22" i="70"/>
  <c r="C22" i="70"/>
  <c r="I21" i="70"/>
  <c r="C21" i="70"/>
  <c r="I20" i="70"/>
  <c r="C20" i="70"/>
  <c r="I19" i="70"/>
  <c r="C19" i="70"/>
  <c r="I18" i="70"/>
  <c r="C18" i="70"/>
  <c r="I17" i="70"/>
  <c r="C17" i="70"/>
  <c r="I16" i="70"/>
  <c r="C16" i="70"/>
  <c r="I15" i="70"/>
  <c r="C15" i="70"/>
  <c r="I14" i="70"/>
  <c r="C14" i="70"/>
  <c r="I13" i="70"/>
  <c r="C13" i="70"/>
  <c r="I12" i="70"/>
  <c r="K18" i="71" s="1"/>
  <c r="C12" i="70"/>
  <c r="K83" i="71" s="1"/>
  <c r="H47" i="69"/>
  <c r="G47" i="69"/>
  <c r="F47" i="69"/>
  <c r="E47" i="69"/>
  <c r="D47" i="69"/>
  <c r="I46" i="69"/>
  <c r="C46" i="69"/>
  <c r="I45" i="69"/>
  <c r="C45" i="69"/>
  <c r="I44" i="69"/>
  <c r="C44" i="69"/>
  <c r="I43" i="69"/>
  <c r="C43" i="69"/>
  <c r="I42" i="69"/>
  <c r="I47" i="69" s="1"/>
  <c r="C42" i="69"/>
  <c r="D38" i="69"/>
  <c r="C37" i="69"/>
  <c r="C36" i="69"/>
  <c r="C35" i="69"/>
  <c r="C34" i="69"/>
  <c r="C33" i="69"/>
  <c r="H29" i="69"/>
  <c r="G29" i="69"/>
  <c r="F29" i="69"/>
  <c r="E29" i="69"/>
  <c r="D29" i="69"/>
  <c r="I28" i="69"/>
  <c r="C28" i="69"/>
  <c r="I27" i="69"/>
  <c r="C27" i="69"/>
  <c r="I26" i="69"/>
  <c r="C26" i="69"/>
  <c r="I25" i="69"/>
  <c r="C25" i="69"/>
  <c r="I24" i="69"/>
  <c r="C24" i="69"/>
  <c r="I23" i="69"/>
  <c r="C23" i="69"/>
  <c r="I22" i="69"/>
  <c r="C22" i="69"/>
  <c r="I21" i="69"/>
  <c r="C21" i="69"/>
  <c r="I20" i="69"/>
  <c r="C20" i="69"/>
  <c r="I19" i="69"/>
  <c r="C19" i="69"/>
  <c r="I18" i="69"/>
  <c r="C18" i="69"/>
  <c r="I17" i="69"/>
  <c r="C17" i="69"/>
  <c r="I16" i="69"/>
  <c r="C16" i="69"/>
  <c r="I15" i="69"/>
  <c r="C15" i="69"/>
  <c r="I14" i="69"/>
  <c r="C14" i="69"/>
  <c r="I13" i="69"/>
  <c r="C13" i="69"/>
  <c r="I12" i="69"/>
  <c r="I29" i="69" s="1"/>
  <c r="C12" i="69"/>
  <c r="J19" i="66" l="1"/>
  <c r="J35" i="66"/>
  <c r="J51" i="66"/>
  <c r="J39" i="71"/>
  <c r="I39" i="71" s="1"/>
  <c r="J25" i="71"/>
  <c r="J11" i="66"/>
  <c r="J27" i="66"/>
  <c r="J59" i="66"/>
  <c r="J32" i="71"/>
  <c r="J5" i="71"/>
  <c r="J15" i="66"/>
  <c r="J57" i="71"/>
  <c r="I57" i="71" s="1"/>
  <c r="J44" i="71"/>
  <c r="J80" i="66"/>
  <c r="J43" i="66"/>
  <c r="J78" i="71"/>
  <c r="I78" i="71" s="1"/>
  <c r="J78" i="66"/>
  <c r="J31" i="66"/>
  <c r="K16" i="71"/>
  <c r="I16" i="71" s="1"/>
  <c r="K14" i="71"/>
  <c r="K12" i="71"/>
  <c r="K9" i="71"/>
  <c r="K7" i="71"/>
  <c r="K66" i="71" s="1"/>
  <c r="K67" i="71" s="1"/>
  <c r="K83" i="66"/>
  <c r="K5" i="66"/>
  <c r="K9" i="66"/>
  <c r="K13" i="66"/>
  <c r="K17" i="66"/>
  <c r="K21" i="66"/>
  <c r="K25" i="66"/>
  <c r="K29" i="66"/>
  <c r="K33" i="66"/>
  <c r="K37" i="66"/>
  <c r="K41" i="66"/>
  <c r="K45" i="66"/>
  <c r="K49" i="66"/>
  <c r="K53" i="66"/>
  <c r="K57" i="66"/>
  <c r="K61" i="66"/>
  <c r="K51" i="71"/>
  <c r="K34" i="71"/>
  <c r="K32" i="71"/>
  <c r="K23" i="71"/>
  <c r="K19" i="71"/>
  <c r="K17" i="71"/>
  <c r="K15" i="71"/>
  <c r="K10" i="71"/>
  <c r="K5" i="71"/>
  <c r="I5" i="71" s="1"/>
  <c r="K81" i="66"/>
  <c r="K7" i="66"/>
  <c r="K15" i="66"/>
  <c r="K19" i="66"/>
  <c r="K27" i="66"/>
  <c r="K31" i="66"/>
  <c r="K39" i="66"/>
  <c r="K47" i="66"/>
  <c r="K51" i="66"/>
  <c r="K55" i="66"/>
  <c r="K60" i="71"/>
  <c r="K49" i="71"/>
  <c r="K47" i="71"/>
  <c r="K45" i="71"/>
  <c r="K42" i="71"/>
  <c r="K28" i="71"/>
  <c r="K6" i="71"/>
  <c r="K82" i="66"/>
  <c r="K8" i="66"/>
  <c r="K16" i="66"/>
  <c r="K24" i="66"/>
  <c r="K32" i="66"/>
  <c r="K36" i="66"/>
  <c r="K44" i="66"/>
  <c r="K52" i="66"/>
  <c r="K56" i="66"/>
  <c r="K82" i="71"/>
  <c r="K80" i="71"/>
  <c r="K78" i="71"/>
  <c r="K55" i="71"/>
  <c r="K53" i="71"/>
  <c r="K36" i="71"/>
  <c r="K21" i="71"/>
  <c r="K13" i="71"/>
  <c r="K8" i="71"/>
  <c r="K11" i="66"/>
  <c r="K23" i="66"/>
  <c r="K35" i="66"/>
  <c r="K43" i="66"/>
  <c r="K59" i="66"/>
  <c r="K58" i="71"/>
  <c r="K40" i="71"/>
  <c r="K37" i="71"/>
  <c r="K30" i="71"/>
  <c r="K26" i="71"/>
  <c r="K11" i="71"/>
  <c r="K12" i="66"/>
  <c r="K20" i="66"/>
  <c r="K28" i="66"/>
  <c r="K40" i="66"/>
  <c r="K48" i="66"/>
  <c r="K60" i="66"/>
  <c r="J81" i="71"/>
  <c r="J55" i="66"/>
  <c r="J39" i="66"/>
  <c r="J23" i="66"/>
  <c r="J7" i="66"/>
  <c r="K58" i="66"/>
  <c r="K54" i="66"/>
  <c r="K50" i="66"/>
  <c r="K46" i="66"/>
  <c r="K42" i="66"/>
  <c r="K38" i="66"/>
  <c r="K34" i="66"/>
  <c r="K30" i="66"/>
  <c r="K26" i="66"/>
  <c r="K22" i="66"/>
  <c r="K18" i="66"/>
  <c r="K14" i="66"/>
  <c r="K10" i="66"/>
  <c r="K6" i="66"/>
  <c r="K78" i="66"/>
  <c r="K79" i="66"/>
  <c r="K80" i="66"/>
  <c r="J7" i="71"/>
  <c r="I7" i="71" s="1"/>
  <c r="J12" i="71"/>
  <c r="I12" i="71" s="1"/>
  <c r="K25" i="71"/>
  <c r="K27" i="71"/>
  <c r="K29" i="71"/>
  <c r="K31" i="71"/>
  <c r="J38" i="71"/>
  <c r="K39" i="71"/>
  <c r="K41" i="71"/>
  <c r="J43" i="71"/>
  <c r="K44" i="71"/>
  <c r="K46" i="71"/>
  <c r="K48" i="71"/>
  <c r="J50" i="71"/>
  <c r="I50" i="71" s="1"/>
  <c r="K57" i="71"/>
  <c r="K59" i="71"/>
  <c r="K61" i="71"/>
  <c r="J6" i="71"/>
  <c r="I6" i="71" s="1"/>
  <c r="J11" i="71"/>
  <c r="I11" i="71" s="1"/>
  <c r="J18" i="71"/>
  <c r="K20" i="71"/>
  <c r="K22" i="71"/>
  <c r="K24" i="71"/>
  <c r="K33" i="71"/>
  <c r="K35" i="71"/>
  <c r="J37" i="71"/>
  <c r="I37" i="71" s="1"/>
  <c r="K38" i="71"/>
  <c r="K43" i="71"/>
  <c r="K50" i="71"/>
  <c r="K52" i="71"/>
  <c r="K54" i="71"/>
  <c r="K56" i="71"/>
  <c r="K79" i="71"/>
  <c r="K81" i="71"/>
  <c r="I38" i="71"/>
  <c r="I43" i="71"/>
  <c r="I29" i="70"/>
  <c r="J58" i="66"/>
  <c r="J54" i="66"/>
  <c r="J50" i="66"/>
  <c r="J46" i="66"/>
  <c r="J42" i="66"/>
  <c r="J38" i="66"/>
  <c r="J34" i="66"/>
  <c r="J30" i="66"/>
  <c r="J26" i="66"/>
  <c r="J22" i="66"/>
  <c r="J18" i="66"/>
  <c r="J14" i="66"/>
  <c r="J10" i="66"/>
  <c r="J6" i="66"/>
  <c r="J83" i="66"/>
  <c r="J79" i="66"/>
  <c r="I79" i="66" s="1"/>
  <c r="J10" i="71"/>
  <c r="I10" i="71" s="1"/>
  <c r="J17" i="71"/>
  <c r="I17" i="71" s="1"/>
  <c r="J24" i="71"/>
  <c r="J29" i="71"/>
  <c r="J30" i="71"/>
  <c r="J31" i="71"/>
  <c r="I31" i="71" s="1"/>
  <c r="I32" i="71"/>
  <c r="J35" i="71"/>
  <c r="J36" i="71"/>
  <c r="J42" i="71"/>
  <c r="I42" i="71" s="1"/>
  <c r="J49" i="71"/>
  <c r="J56" i="71"/>
  <c r="I56" i="71" s="1"/>
  <c r="J61" i="71"/>
  <c r="I61" i="71" s="1"/>
  <c r="J83" i="71"/>
  <c r="J61" i="66"/>
  <c r="J57" i="66"/>
  <c r="J53" i="66"/>
  <c r="J49" i="66"/>
  <c r="J45" i="66"/>
  <c r="J41" i="66"/>
  <c r="J37" i="66"/>
  <c r="J33" i="66"/>
  <c r="J29" i="66"/>
  <c r="J25" i="66"/>
  <c r="J21" i="66"/>
  <c r="J17" i="66"/>
  <c r="J13" i="66"/>
  <c r="J9" i="66"/>
  <c r="J5" i="66"/>
  <c r="J82" i="66"/>
  <c r="I82" i="66" s="1"/>
  <c r="J9" i="71"/>
  <c r="J16" i="71"/>
  <c r="J21" i="71"/>
  <c r="I21" i="71" s="1"/>
  <c r="J22" i="71"/>
  <c r="I22" i="71" s="1"/>
  <c r="J23" i="71"/>
  <c r="I24" i="71"/>
  <c r="J27" i="71"/>
  <c r="I27" i="71" s="1"/>
  <c r="J28" i="71"/>
  <c r="I28" i="71" s="1"/>
  <c r="J34" i="71"/>
  <c r="I34" i="71" s="1"/>
  <c r="J41" i="71"/>
  <c r="J48" i="71"/>
  <c r="I48" i="71" s="1"/>
  <c r="J53" i="71"/>
  <c r="I53" i="71" s="1"/>
  <c r="J54" i="71"/>
  <c r="I54" i="71" s="1"/>
  <c r="J55" i="71"/>
  <c r="I55" i="71" s="1"/>
  <c r="J59" i="71"/>
  <c r="I59" i="71" s="1"/>
  <c r="J60" i="71"/>
  <c r="I60" i="71" s="1"/>
  <c r="J82" i="71"/>
  <c r="J60" i="66"/>
  <c r="J56" i="66"/>
  <c r="J52" i="66"/>
  <c r="J48" i="66"/>
  <c r="J44" i="66"/>
  <c r="J40" i="66"/>
  <c r="J36" i="66"/>
  <c r="J32" i="66"/>
  <c r="J28" i="66"/>
  <c r="J24" i="66"/>
  <c r="J20" i="66"/>
  <c r="J16" i="66"/>
  <c r="J12" i="66"/>
  <c r="J8" i="66"/>
  <c r="J81" i="66"/>
  <c r="I81" i="66" s="1"/>
  <c r="J8" i="71"/>
  <c r="J13" i="71"/>
  <c r="I13" i="71" s="1"/>
  <c r="J14" i="71"/>
  <c r="J15" i="71"/>
  <c r="I15" i="71" s="1"/>
  <c r="J19" i="71"/>
  <c r="J20" i="71"/>
  <c r="I20" i="71" s="1"/>
  <c r="J26" i="71"/>
  <c r="I26" i="71" s="1"/>
  <c r="J33" i="71"/>
  <c r="I33" i="71" s="1"/>
  <c r="J40" i="71"/>
  <c r="I40" i="71" s="1"/>
  <c r="J45" i="71"/>
  <c r="I45" i="71" s="1"/>
  <c r="J46" i="71"/>
  <c r="I46" i="71" s="1"/>
  <c r="J47" i="71"/>
  <c r="I47" i="71" s="1"/>
  <c r="J51" i="71"/>
  <c r="J52" i="71"/>
  <c r="I52" i="71" s="1"/>
  <c r="J58" i="71"/>
  <c r="I58" i="71" s="1"/>
  <c r="J79" i="71"/>
  <c r="J80" i="71"/>
  <c r="K62" i="71"/>
  <c r="H62" i="71"/>
  <c r="B45" i="71" s="1"/>
  <c r="E91" i="71"/>
  <c r="E92" i="71" s="1"/>
  <c r="I18" i="71"/>
  <c r="B91" i="71"/>
  <c r="C84" i="71"/>
  <c r="H84" i="71" s="1"/>
  <c r="G84" i="71"/>
  <c r="B51" i="71"/>
  <c r="F91" i="71"/>
  <c r="F92" i="71" s="1"/>
  <c r="I9" i="71"/>
  <c r="I25" i="71"/>
  <c r="I49" i="71"/>
  <c r="H83" i="71"/>
  <c r="D84" i="71" s="1"/>
  <c r="BH66" i="66"/>
  <c r="BH67" i="66" s="1"/>
  <c r="BH62" i="66"/>
  <c r="H6" i="66"/>
  <c r="H7" i="66"/>
  <c r="H8" i="66"/>
  <c r="H9" i="66"/>
  <c r="H10" i="66"/>
  <c r="H11" i="66"/>
  <c r="H12" i="66"/>
  <c r="H13" i="66"/>
  <c r="H14" i="66"/>
  <c r="H15" i="66"/>
  <c r="H16" i="66"/>
  <c r="H17" i="66"/>
  <c r="H18" i="66"/>
  <c r="H19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5" i="66"/>
  <c r="H36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H51" i="66"/>
  <c r="H52" i="66"/>
  <c r="H53" i="66"/>
  <c r="H54" i="66"/>
  <c r="H55" i="66"/>
  <c r="H56" i="66"/>
  <c r="H57" i="66"/>
  <c r="H58" i="66"/>
  <c r="H59" i="66"/>
  <c r="H60" i="66"/>
  <c r="H61" i="66"/>
  <c r="H5" i="66"/>
  <c r="BG83" i="66"/>
  <c r="BF83" i="66"/>
  <c r="BE83" i="66"/>
  <c r="BD83" i="66"/>
  <c r="BC83" i="66"/>
  <c r="BB83" i="66"/>
  <c r="BA83" i="66"/>
  <c r="AZ83" i="66"/>
  <c r="AY83" i="66"/>
  <c r="AX83" i="66"/>
  <c r="AW83" i="66"/>
  <c r="AV83" i="66"/>
  <c r="AU83" i="66"/>
  <c r="AT83" i="66"/>
  <c r="AS83" i="66"/>
  <c r="AR83" i="66"/>
  <c r="AQ83" i="66"/>
  <c r="AP83" i="66"/>
  <c r="AO83" i="66"/>
  <c r="AN83" i="66"/>
  <c r="AM83" i="66"/>
  <c r="AL83" i="66"/>
  <c r="AK83" i="66"/>
  <c r="AJ83" i="66"/>
  <c r="AI83" i="66"/>
  <c r="AH83" i="66"/>
  <c r="AG83" i="66"/>
  <c r="AF83" i="66"/>
  <c r="AE83" i="66"/>
  <c r="AD83" i="66"/>
  <c r="AC83" i="66"/>
  <c r="AB83" i="66"/>
  <c r="AA83" i="66"/>
  <c r="Z83" i="66"/>
  <c r="Y83" i="66"/>
  <c r="X83" i="66"/>
  <c r="W83" i="66"/>
  <c r="V83" i="66"/>
  <c r="U83" i="66"/>
  <c r="T83" i="66"/>
  <c r="S83" i="66"/>
  <c r="R83" i="66"/>
  <c r="Q83" i="66"/>
  <c r="P83" i="66"/>
  <c r="O83" i="66"/>
  <c r="N83" i="66"/>
  <c r="M83" i="66"/>
  <c r="L83" i="66"/>
  <c r="H82" i="66"/>
  <c r="H81" i="66"/>
  <c r="I80" i="66"/>
  <c r="H80" i="66"/>
  <c r="H79" i="66"/>
  <c r="I78" i="66"/>
  <c r="H78" i="66"/>
  <c r="G62" i="66"/>
  <c r="F91" i="66" s="1"/>
  <c r="F62" i="66"/>
  <c r="E91" i="66" s="1"/>
  <c r="E92" i="66" s="1"/>
  <c r="E62" i="66"/>
  <c r="D62" i="66"/>
  <c r="C91" i="66" s="1"/>
  <c r="C92" i="66" s="1"/>
  <c r="C62" i="66"/>
  <c r="B91" i="66" s="1"/>
  <c r="I80" i="71" l="1"/>
  <c r="I51" i="71"/>
  <c r="I30" i="71"/>
  <c r="I79" i="71"/>
  <c r="I83" i="71" s="1"/>
  <c r="I19" i="71"/>
  <c r="I41" i="71"/>
  <c r="I35" i="71"/>
  <c r="I29" i="71"/>
  <c r="K64" i="71"/>
  <c r="K65" i="71" s="1"/>
  <c r="I14" i="71"/>
  <c r="I36" i="71"/>
  <c r="I8" i="71"/>
  <c r="I82" i="71"/>
  <c r="I23" i="71"/>
  <c r="I81" i="71"/>
  <c r="I44" i="71"/>
  <c r="J66" i="71"/>
  <c r="J62" i="71"/>
  <c r="B19" i="71"/>
  <c r="J64" i="71"/>
  <c r="J65" i="71" s="1"/>
  <c r="G91" i="71"/>
  <c r="B92" i="71"/>
  <c r="D63" i="71"/>
  <c r="B54" i="71"/>
  <c r="B46" i="71"/>
  <c r="B38" i="71"/>
  <c r="B30" i="71"/>
  <c r="B22" i="71"/>
  <c r="B14" i="71"/>
  <c r="B6" i="71"/>
  <c r="B61" i="71"/>
  <c r="B52" i="71"/>
  <c r="B44" i="71"/>
  <c r="B36" i="71"/>
  <c r="B28" i="71"/>
  <c r="B20" i="71"/>
  <c r="E63" i="71"/>
  <c r="B12" i="71"/>
  <c r="B58" i="71"/>
  <c r="B57" i="71"/>
  <c r="B42" i="71"/>
  <c r="B41" i="71"/>
  <c r="B26" i="71"/>
  <c r="B25" i="71"/>
  <c r="B10" i="71"/>
  <c r="B9" i="71"/>
  <c r="B50" i="71"/>
  <c r="B49" i="71"/>
  <c r="B48" i="71"/>
  <c r="B34" i="71"/>
  <c r="B33" i="71"/>
  <c r="B32" i="71"/>
  <c r="B18" i="71"/>
  <c r="B17" i="71"/>
  <c r="B16" i="71"/>
  <c r="B40" i="71"/>
  <c r="G63" i="71"/>
  <c r="B55" i="71"/>
  <c r="B23" i="71"/>
  <c r="B29" i="71"/>
  <c r="B53" i="71"/>
  <c r="B8" i="71"/>
  <c r="B35" i="71"/>
  <c r="B11" i="71"/>
  <c r="B13" i="71"/>
  <c r="B31" i="71"/>
  <c r="I62" i="71"/>
  <c r="I69" i="71" s="1"/>
  <c r="I70" i="71" s="1"/>
  <c r="B21" i="71"/>
  <c r="B56" i="71"/>
  <c r="J67" i="71"/>
  <c r="I71" i="71"/>
  <c r="B43" i="71"/>
  <c r="B59" i="71"/>
  <c r="B47" i="71"/>
  <c r="N69" i="71"/>
  <c r="E84" i="71"/>
  <c r="B60" i="71"/>
  <c r="B27" i="71"/>
  <c r="C63" i="71"/>
  <c r="H63" i="71" s="1"/>
  <c r="B39" i="71"/>
  <c r="B7" i="71"/>
  <c r="F84" i="71"/>
  <c r="B15" i="71"/>
  <c r="F63" i="71"/>
  <c r="B5" i="71"/>
  <c r="B65" i="71" s="1"/>
  <c r="B37" i="71"/>
  <c r="B24" i="71"/>
  <c r="H83" i="66"/>
  <c r="F92" i="66"/>
  <c r="Q62" i="66"/>
  <c r="Y62" i="66"/>
  <c r="AC62" i="66"/>
  <c r="AG62" i="66"/>
  <c r="AO62" i="66"/>
  <c r="AS62" i="66"/>
  <c r="AW62" i="66"/>
  <c r="BA62" i="66"/>
  <c r="BE62" i="66"/>
  <c r="M62" i="66"/>
  <c r="U62" i="66"/>
  <c r="AK62" i="66"/>
  <c r="AT62" i="66"/>
  <c r="BF62" i="66"/>
  <c r="J62" i="66"/>
  <c r="N62" i="66"/>
  <c r="R62" i="66"/>
  <c r="V62" i="66"/>
  <c r="Z62" i="66"/>
  <c r="AD62" i="66"/>
  <c r="AH62" i="66"/>
  <c r="AL62" i="66"/>
  <c r="AP62" i="66"/>
  <c r="AX62" i="66"/>
  <c r="BB62" i="66"/>
  <c r="W62" i="66"/>
  <c r="AE62" i="66"/>
  <c r="AM62" i="66"/>
  <c r="AU62" i="66"/>
  <c r="BG62" i="66"/>
  <c r="O62" i="66"/>
  <c r="S62" i="66"/>
  <c r="AA62" i="66"/>
  <c r="AI62" i="66"/>
  <c r="AQ62" i="66"/>
  <c r="AY62" i="66"/>
  <c r="BC62" i="66"/>
  <c r="L62" i="66"/>
  <c r="P62" i="66"/>
  <c r="T62" i="66"/>
  <c r="X62" i="66"/>
  <c r="AB62" i="66"/>
  <c r="AF62" i="66"/>
  <c r="AJ62" i="66"/>
  <c r="AN62" i="66"/>
  <c r="AR62" i="66"/>
  <c r="AV62" i="66"/>
  <c r="AZ62" i="66"/>
  <c r="BD62" i="66"/>
  <c r="J66" i="66"/>
  <c r="I16" i="66"/>
  <c r="I60" i="66"/>
  <c r="I28" i="66"/>
  <c r="I31" i="66"/>
  <c r="I46" i="66"/>
  <c r="I50" i="66"/>
  <c r="I26" i="66"/>
  <c r="I34" i="66"/>
  <c r="I42" i="66"/>
  <c r="I54" i="66"/>
  <c r="I12" i="66"/>
  <c r="I13" i="66"/>
  <c r="I38" i="66"/>
  <c r="I39" i="66"/>
  <c r="L64" i="66"/>
  <c r="L65" i="66" s="1"/>
  <c r="P64" i="66"/>
  <c r="P65" i="66" s="1"/>
  <c r="T64" i="66"/>
  <c r="T65" i="66" s="1"/>
  <c r="X64" i="66"/>
  <c r="X65" i="66" s="1"/>
  <c r="AB64" i="66"/>
  <c r="AB65" i="66" s="1"/>
  <c r="AF64" i="66"/>
  <c r="AF65" i="66" s="1"/>
  <c r="AJ64" i="66"/>
  <c r="AJ65" i="66" s="1"/>
  <c r="AN64" i="66"/>
  <c r="AN65" i="66" s="1"/>
  <c r="AR64" i="66"/>
  <c r="AR65" i="66" s="1"/>
  <c r="AV64" i="66"/>
  <c r="AV65" i="66" s="1"/>
  <c r="AZ64" i="66"/>
  <c r="AZ65" i="66" s="1"/>
  <c r="BD64" i="66"/>
  <c r="BD65" i="66" s="1"/>
  <c r="I7" i="66"/>
  <c r="I11" i="66"/>
  <c r="I20" i="66"/>
  <c r="I21" i="66"/>
  <c r="I24" i="66"/>
  <c r="I25" i="66"/>
  <c r="I30" i="66"/>
  <c r="I43" i="66"/>
  <c r="I45" i="66"/>
  <c r="I58" i="66"/>
  <c r="I18" i="66"/>
  <c r="I22" i="66"/>
  <c r="I36" i="66"/>
  <c r="I41" i="66"/>
  <c r="H62" i="66"/>
  <c r="B60" i="66" s="1"/>
  <c r="I6" i="66"/>
  <c r="I10" i="66"/>
  <c r="I15" i="66"/>
  <c r="I17" i="66"/>
  <c r="I29" i="66"/>
  <c r="I32" i="66"/>
  <c r="I33" i="66"/>
  <c r="I44" i="66"/>
  <c r="I47" i="66"/>
  <c r="I49" i="66"/>
  <c r="I51" i="66"/>
  <c r="I53" i="66"/>
  <c r="I59" i="66"/>
  <c r="K66" i="66"/>
  <c r="K67" i="66" s="1"/>
  <c r="O66" i="66"/>
  <c r="O67" i="66" s="1"/>
  <c r="S66" i="66"/>
  <c r="S67" i="66" s="1"/>
  <c r="W66" i="66"/>
  <c r="W67" i="66" s="1"/>
  <c r="AA66" i="66"/>
  <c r="AA67" i="66" s="1"/>
  <c r="AE66" i="66"/>
  <c r="AE67" i="66" s="1"/>
  <c r="AI66" i="66"/>
  <c r="AI67" i="66" s="1"/>
  <c r="AM66" i="66"/>
  <c r="AM67" i="66" s="1"/>
  <c r="AQ66" i="66"/>
  <c r="AQ67" i="66" s="1"/>
  <c r="AU66" i="66"/>
  <c r="AU67" i="66" s="1"/>
  <c r="AY66" i="66"/>
  <c r="AY67" i="66" s="1"/>
  <c r="BC66" i="66"/>
  <c r="BC67" i="66" s="1"/>
  <c r="BG66" i="66"/>
  <c r="BG67" i="66" s="1"/>
  <c r="I8" i="66"/>
  <c r="I9" i="66"/>
  <c r="I14" i="66"/>
  <c r="I19" i="66"/>
  <c r="I23" i="66"/>
  <c r="I27" i="66"/>
  <c r="I35" i="66"/>
  <c r="I37" i="66"/>
  <c r="I52" i="66"/>
  <c r="I57" i="66"/>
  <c r="I61" i="66"/>
  <c r="I83" i="66"/>
  <c r="M64" i="66"/>
  <c r="M65" i="66" s="1"/>
  <c r="U64" i="66"/>
  <c r="U65" i="66" s="1"/>
  <c r="Y64" i="66"/>
  <c r="Y65" i="66" s="1"/>
  <c r="AC64" i="66"/>
  <c r="AC65" i="66" s="1"/>
  <c r="AG64" i="66"/>
  <c r="AG65" i="66" s="1"/>
  <c r="AK64" i="66"/>
  <c r="AK65" i="66" s="1"/>
  <c r="AO64" i="66"/>
  <c r="AO65" i="66" s="1"/>
  <c r="AS64" i="66"/>
  <c r="AS65" i="66" s="1"/>
  <c r="AW64" i="66"/>
  <c r="AW65" i="66" s="1"/>
  <c r="BA64" i="66"/>
  <c r="BA65" i="66" s="1"/>
  <c r="BE64" i="66"/>
  <c r="BE65" i="66" s="1"/>
  <c r="L66" i="66"/>
  <c r="L67" i="66" s="1"/>
  <c r="P66" i="66"/>
  <c r="P67" i="66" s="1"/>
  <c r="T66" i="66"/>
  <c r="T67" i="66" s="1"/>
  <c r="X66" i="66"/>
  <c r="X67" i="66" s="1"/>
  <c r="AB66" i="66"/>
  <c r="AB67" i="66" s="1"/>
  <c r="AF66" i="66"/>
  <c r="AF67" i="66" s="1"/>
  <c r="AJ66" i="66"/>
  <c r="AJ67" i="66" s="1"/>
  <c r="AN66" i="66"/>
  <c r="AN67" i="66" s="1"/>
  <c r="AR66" i="66"/>
  <c r="AR67" i="66" s="1"/>
  <c r="AV66" i="66"/>
  <c r="AV67" i="66" s="1"/>
  <c r="AZ66" i="66"/>
  <c r="AZ67" i="66" s="1"/>
  <c r="BD66" i="66"/>
  <c r="BD67" i="66" s="1"/>
  <c r="B92" i="66"/>
  <c r="D84" i="66"/>
  <c r="Q64" i="66"/>
  <c r="Q65" i="66" s="1"/>
  <c r="J64" i="66"/>
  <c r="J65" i="66" s="1"/>
  <c r="N64" i="66"/>
  <c r="N65" i="66" s="1"/>
  <c r="R64" i="66"/>
  <c r="R65" i="66" s="1"/>
  <c r="V64" i="66"/>
  <c r="V65" i="66" s="1"/>
  <c r="Z64" i="66"/>
  <c r="Z65" i="66" s="1"/>
  <c r="AD64" i="66"/>
  <c r="AD65" i="66" s="1"/>
  <c r="AH64" i="66"/>
  <c r="AH65" i="66" s="1"/>
  <c r="AL64" i="66"/>
  <c r="AL65" i="66" s="1"/>
  <c r="AP64" i="66"/>
  <c r="AP65" i="66" s="1"/>
  <c r="AT64" i="66"/>
  <c r="AT65" i="66" s="1"/>
  <c r="AX64" i="66"/>
  <c r="AX65" i="66" s="1"/>
  <c r="BB64" i="66"/>
  <c r="BB65" i="66" s="1"/>
  <c r="BF64" i="66"/>
  <c r="BF65" i="66" s="1"/>
  <c r="M66" i="66"/>
  <c r="M67" i="66" s="1"/>
  <c r="Q66" i="66"/>
  <c r="Q67" i="66" s="1"/>
  <c r="U66" i="66"/>
  <c r="U67" i="66" s="1"/>
  <c r="Y66" i="66"/>
  <c r="Y67" i="66" s="1"/>
  <c r="AC66" i="66"/>
  <c r="AC67" i="66" s="1"/>
  <c r="AG66" i="66"/>
  <c r="AG67" i="66" s="1"/>
  <c r="AK66" i="66"/>
  <c r="AK67" i="66" s="1"/>
  <c r="AO66" i="66"/>
  <c r="AO67" i="66" s="1"/>
  <c r="AS66" i="66"/>
  <c r="AS67" i="66" s="1"/>
  <c r="AW66" i="66"/>
  <c r="AW67" i="66" s="1"/>
  <c r="BA66" i="66"/>
  <c r="BA67" i="66" s="1"/>
  <c r="BE66" i="66"/>
  <c r="BE67" i="66" s="1"/>
  <c r="I40" i="66"/>
  <c r="I48" i="66"/>
  <c r="I56" i="66"/>
  <c r="F84" i="66"/>
  <c r="E84" i="66"/>
  <c r="N69" i="66"/>
  <c r="O64" i="66"/>
  <c r="O65" i="66" s="1"/>
  <c r="S64" i="66"/>
  <c r="S65" i="66" s="1"/>
  <c r="W64" i="66"/>
  <c r="W65" i="66" s="1"/>
  <c r="AA64" i="66"/>
  <c r="AA65" i="66" s="1"/>
  <c r="AE64" i="66"/>
  <c r="AE65" i="66" s="1"/>
  <c r="AI64" i="66"/>
  <c r="AI65" i="66" s="1"/>
  <c r="AM64" i="66"/>
  <c r="AM65" i="66" s="1"/>
  <c r="AQ64" i="66"/>
  <c r="AQ65" i="66" s="1"/>
  <c r="AU64" i="66"/>
  <c r="AU65" i="66" s="1"/>
  <c r="AY64" i="66"/>
  <c r="AY65" i="66" s="1"/>
  <c r="BC64" i="66"/>
  <c r="BC65" i="66" s="1"/>
  <c r="BG64" i="66"/>
  <c r="BG65" i="66" s="1"/>
  <c r="N66" i="66"/>
  <c r="N67" i="66" s="1"/>
  <c r="R66" i="66"/>
  <c r="R67" i="66" s="1"/>
  <c r="V66" i="66"/>
  <c r="V67" i="66" s="1"/>
  <c r="Z66" i="66"/>
  <c r="Z67" i="66" s="1"/>
  <c r="AD66" i="66"/>
  <c r="AD67" i="66" s="1"/>
  <c r="AH66" i="66"/>
  <c r="AH67" i="66" s="1"/>
  <c r="AL66" i="66"/>
  <c r="AL67" i="66" s="1"/>
  <c r="AP66" i="66"/>
  <c r="AP67" i="66" s="1"/>
  <c r="AT66" i="66"/>
  <c r="AT67" i="66" s="1"/>
  <c r="AX66" i="66"/>
  <c r="AX67" i="66" s="1"/>
  <c r="BB66" i="66"/>
  <c r="BB67" i="66" s="1"/>
  <c r="BF66" i="66"/>
  <c r="BF67" i="66" s="1"/>
  <c r="I55" i="66"/>
  <c r="D91" i="66"/>
  <c r="D92" i="66" s="1"/>
  <c r="I72" i="71" l="1"/>
  <c r="C70" i="71"/>
  <c r="L93" i="71"/>
  <c r="L94" i="71" s="1"/>
  <c r="B93" i="71"/>
  <c r="G93" i="71" s="1"/>
  <c r="N70" i="71"/>
  <c r="L95" i="71"/>
  <c r="G92" i="71"/>
  <c r="L89" i="71"/>
  <c r="C84" i="66"/>
  <c r="G84" i="66"/>
  <c r="C63" i="66"/>
  <c r="B47" i="66"/>
  <c r="B37" i="66"/>
  <c r="B18" i="66"/>
  <c r="B25" i="66"/>
  <c r="B42" i="66"/>
  <c r="B52" i="66"/>
  <c r="F63" i="66"/>
  <c r="E63" i="66"/>
  <c r="B35" i="66"/>
  <c r="B5" i="66"/>
  <c r="B49" i="66"/>
  <c r="B38" i="66"/>
  <c r="B11" i="66"/>
  <c r="B31" i="66"/>
  <c r="B32" i="66"/>
  <c r="B30" i="66"/>
  <c r="B53" i="66"/>
  <c r="B51" i="66"/>
  <c r="B6" i="66"/>
  <c r="D63" i="66"/>
  <c r="B36" i="66"/>
  <c r="B54" i="66"/>
  <c r="B28" i="66"/>
  <c r="B59" i="66"/>
  <c r="B50" i="66"/>
  <c r="B34" i="66"/>
  <c r="B14" i="66"/>
  <c r="B41" i="66"/>
  <c r="B57" i="66"/>
  <c r="B40" i="66"/>
  <c r="B46" i="66"/>
  <c r="B23" i="66"/>
  <c r="B56" i="66"/>
  <c r="B13" i="66"/>
  <c r="B27" i="66"/>
  <c r="B24" i="66"/>
  <c r="B21" i="66"/>
  <c r="B7" i="66"/>
  <c r="G63" i="66"/>
  <c r="B58" i="66"/>
  <c r="B43" i="66"/>
  <c r="B33" i="66"/>
  <c r="B10" i="66"/>
  <c r="B45" i="66"/>
  <c r="B61" i="66"/>
  <c r="B44" i="66"/>
  <c r="B22" i="66"/>
  <c r="B55" i="66"/>
  <c r="B39" i="66"/>
  <c r="B19" i="66"/>
  <c r="B48" i="66"/>
  <c r="B12" i="66"/>
  <c r="B9" i="66"/>
  <c r="B20" i="66"/>
  <c r="B17" i="66"/>
  <c r="B26" i="66"/>
  <c r="B8" i="66"/>
  <c r="B29" i="66"/>
  <c r="B15" i="66"/>
  <c r="B16" i="66"/>
  <c r="J67" i="66"/>
  <c r="I71" i="66"/>
  <c r="L95" i="66"/>
  <c r="G91" i="66"/>
  <c r="L90" i="71" l="1"/>
  <c r="L91" i="71"/>
  <c r="L92" i="71" s="1"/>
  <c r="L98" i="71"/>
  <c r="L99" i="71" s="1"/>
  <c r="L96" i="71"/>
  <c r="B79" i="71"/>
  <c r="B82" i="71"/>
  <c r="B78" i="71"/>
  <c r="B81" i="71"/>
  <c r="D93" i="71"/>
  <c r="B80" i="71"/>
  <c r="C93" i="71"/>
  <c r="E93" i="71"/>
  <c r="F93" i="71"/>
  <c r="K64" i="66"/>
  <c r="K65" i="66" s="1"/>
  <c r="I5" i="66"/>
  <c r="I62" i="66" s="1"/>
  <c r="I69" i="66" s="1"/>
  <c r="I70" i="66" s="1"/>
  <c r="K62" i="66"/>
  <c r="H84" i="66"/>
  <c r="G92" i="66"/>
  <c r="B93" i="66" s="1"/>
  <c r="L89" i="66"/>
  <c r="L91" i="66" s="1"/>
  <c r="L92" i="66" s="1"/>
  <c r="H63" i="66"/>
  <c r="B65" i="66"/>
  <c r="D93" i="66"/>
  <c r="L93" i="66"/>
  <c r="L94" i="66" s="1"/>
  <c r="I72" i="66"/>
  <c r="C70" i="66"/>
  <c r="B78" i="66"/>
  <c r="E93" i="66"/>
  <c r="B82" i="66"/>
  <c r="F93" i="66"/>
  <c r="C93" i="66"/>
  <c r="L98" i="66"/>
  <c r="L96" i="66"/>
  <c r="N70" i="66" l="1"/>
  <c r="B80" i="66"/>
  <c r="B81" i="66"/>
  <c r="B79" i="66"/>
  <c r="L90" i="66"/>
  <c r="G93" i="66"/>
  <c r="L99" i="66"/>
</calcChain>
</file>

<file path=xl/sharedStrings.xml><?xml version="1.0" encoding="utf-8"?>
<sst xmlns="http://schemas.openxmlformats.org/spreadsheetml/2006/main" count="537" uniqueCount="177">
  <si>
    <t>Fraxinus pennsylvanica*</t>
  </si>
  <si>
    <t>Acer negundo</t>
  </si>
  <si>
    <t>Platanus occidentalis*</t>
  </si>
  <si>
    <t>Acer rubrum*</t>
  </si>
  <si>
    <t>Quercus michauxii*</t>
  </si>
  <si>
    <t>Quercus phellos*</t>
  </si>
  <si>
    <t>Quercus palustris*</t>
  </si>
  <si>
    <t>Total Stems</t>
  </si>
  <si>
    <t>Size Class Percent</t>
  </si>
  <si>
    <t>&lt; 2</t>
  </si>
  <si>
    <t>Salix nigra</t>
  </si>
  <si>
    <t>Cephalanthus occidentalis</t>
  </si>
  <si>
    <t>Betula nigra*</t>
  </si>
  <si>
    <t>Liriodendron tulipifera*</t>
  </si>
  <si>
    <t>Carpinus caroliniana</t>
  </si>
  <si>
    <t>Total Stems/Acre</t>
  </si>
  <si>
    <t>Total Overstory Native Trees</t>
  </si>
  <si>
    <t>Total Overstory Native Trees/Acre</t>
  </si>
  <si>
    <t>Species</t>
  </si>
  <si>
    <t>Total</t>
  </si>
  <si>
    <t>2 - 4</t>
  </si>
  <si>
    <t>4 - 6</t>
  </si>
  <si>
    <t>6 - 12</t>
  </si>
  <si>
    <t>Size Class Height (Feet)</t>
  </si>
  <si>
    <t>Percent</t>
  </si>
  <si>
    <t xml:space="preserve">Total </t>
  </si>
  <si>
    <t>VP - 1</t>
  </si>
  <si>
    <t>VP - 2</t>
  </si>
  <si>
    <t>VP - 3</t>
  </si>
  <si>
    <t>VP - 4</t>
  </si>
  <si>
    <t>VP - 5</t>
  </si>
  <si>
    <t>VP - 6</t>
  </si>
  <si>
    <t>VP - 7</t>
  </si>
  <si>
    <t>VP - 8</t>
  </si>
  <si>
    <t>VP - 9</t>
  </si>
  <si>
    <t>VP - 10</t>
  </si>
  <si>
    <t>VP - 11</t>
  </si>
  <si>
    <t>VP - 12</t>
  </si>
  <si>
    <t>VP - 13</t>
  </si>
  <si>
    <t>VP - 14</t>
  </si>
  <si>
    <t>VP - 15</t>
  </si>
  <si>
    <t>VP - 16</t>
  </si>
  <si>
    <t>VP - 17</t>
  </si>
  <si>
    <t>VP - 18</t>
  </si>
  <si>
    <t>VP - 19</t>
  </si>
  <si>
    <t>VP - 20</t>
  </si>
  <si>
    <t>VP - 21</t>
  </si>
  <si>
    <t>VP - 22</t>
  </si>
  <si>
    <t>VP - 23</t>
  </si>
  <si>
    <t>VP - 24</t>
  </si>
  <si>
    <t>Total Overstory Native Trees/Plot</t>
  </si>
  <si>
    <t>Total Stems/Plot</t>
  </si>
  <si>
    <t>Total Overstory Native Trees/Plot/Acre</t>
  </si>
  <si>
    <t>Total Stems/Plot/Acre</t>
  </si>
  <si>
    <t xml:space="preserve">Invasive Species = </t>
  </si>
  <si>
    <t xml:space="preserve">Max % Non Native Invasive Species = </t>
  </si>
  <si>
    <t>Cornus amomum</t>
  </si>
  <si>
    <t>VP - 25</t>
  </si>
  <si>
    <t>VP - 26</t>
  </si>
  <si>
    <t>VP - 27</t>
  </si>
  <si>
    <t>VP - 28</t>
  </si>
  <si>
    <t>VP - 29</t>
  </si>
  <si>
    <t>VP - 30</t>
  </si>
  <si>
    <t>VP - 31</t>
  </si>
  <si>
    <t>VP -32</t>
  </si>
  <si>
    <t>VP -33</t>
  </si>
  <si>
    <t>VP - 34</t>
  </si>
  <si>
    <t>VP - 35</t>
  </si>
  <si>
    <t>VP - 36</t>
  </si>
  <si>
    <t>VP - 37</t>
  </si>
  <si>
    <t>VP - 38</t>
  </si>
  <si>
    <t>VP -39</t>
  </si>
  <si>
    <t>VP - 40</t>
  </si>
  <si>
    <t>VP - 41</t>
  </si>
  <si>
    <t>VP - 42</t>
  </si>
  <si>
    <t>Physocarpus opulifolius</t>
  </si>
  <si>
    <t>Quercus rubra*</t>
  </si>
  <si>
    <t>Quercus alba*</t>
  </si>
  <si>
    <t>Quercus falcata*</t>
  </si>
  <si>
    <t>Quercus shumardii*</t>
  </si>
  <si>
    <t>Juglans nigra*</t>
  </si>
  <si>
    <t>Ulmus americana*</t>
  </si>
  <si>
    <t>Populus deltoides*</t>
  </si>
  <si>
    <t>Quercus lyrata*</t>
  </si>
  <si>
    <t>Gleditsia triacanthos</t>
  </si>
  <si>
    <t>Robinia pseudoacacia</t>
  </si>
  <si>
    <t>VP - 43</t>
  </si>
  <si>
    <t>VP - 44</t>
  </si>
  <si>
    <t>VP - 45</t>
  </si>
  <si>
    <t>VP - 46</t>
  </si>
  <si>
    <t>Hamamelis virginiana</t>
  </si>
  <si>
    <t>Overstory =</t>
  </si>
  <si>
    <t>Diospyros virginiana</t>
  </si>
  <si>
    <t>Carya ovata*</t>
  </si>
  <si>
    <t xml:space="preserve">Acer saccharinum* </t>
  </si>
  <si>
    <t>Carya laciniosa*</t>
  </si>
  <si>
    <t>Lindera benzoin</t>
  </si>
  <si>
    <t>Liquidambar styraciflua*</t>
  </si>
  <si>
    <t>Maclura pomifera</t>
  </si>
  <si>
    <t>Corylus americana</t>
  </si>
  <si>
    <t>Invasive Species</t>
  </si>
  <si>
    <t>&gt; 12</t>
  </si>
  <si>
    <t>Ligustrum sinense</t>
  </si>
  <si>
    <t>Mimosa sp.</t>
  </si>
  <si>
    <t>Rosa multiflora</t>
  </si>
  <si>
    <t>Lonicera maackii</t>
  </si>
  <si>
    <t>VP - 32</t>
  </si>
  <si>
    <t>VP - 33</t>
  </si>
  <si>
    <t>VP - 39</t>
  </si>
  <si>
    <t>Total Stems (Invasive &amp; Native)</t>
  </si>
  <si>
    <t>Total Native Stems</t>
  </si>
  <si>
    <t>Total Native Stems/Acre</t>
  </si>
  <si>
    <t>Total Invasive Stems</t>
  </si>
  <si>
    <t>Total Invasive Stems/Acre</t>
  </si>
  <si>
    <t>&gt;12</t>
  </si>
  <si>
    <t>Aesculus glabra</t>
  </si>
  <si>
    <t>Sambucus canadensis</t>
  </si>
  <si>
    <t>Symphoricarpos orbiculatus</t>
  </si>
  <si>
    <t>Asimina triloba</t>
  </si>
  <si>
    <t>Acer saccharum*</t>
  </si>
  <si>
    <t>Carya tomentosa*</t>
  </si>
  <si>
    <t>Rhus glabra</t>
  </si>
  <si>
    <t>Ulmus alata*</t>
  </si>
  <si>
    <t>Ulmus rubra*</t>
  </si>
  <si>
    <t>Celtis laevigata*</t>
  </si>
  <si>
    <t>Ilex decidua</t>
  </si>
  <si>
    <t>Juniperus virginiana*</t>
  </si>
  <si>
    <t>Morus rubra*</t>
  </si>
  <si>
    <t>Prunus serotina</t>
  </si>
  <si>
    <r>
      <rPr>
        <i/>
        <sz val="10"/>
        <color rgb="FF000000"/>
        <rFont val="Times New Roman"/>
        <family val="1"/>
      </rPr>
      <t xml:space="preserve">Prunus </t>
    </r>
    <r>
      <rPr>
        <sz val="10"/>
        <color rgb="FF000000"/>
        <rFont val="Times New Roman"/>
        <family val="1"/>
      </rPr>
      <t>sp.</t>
    </r>
  </si>
  <si>
    <t>Quercus acutissima*</t>
  </si>
  <si>
    <t>Specie</t>
  </si>
  <si>
    <t>Ailanthus altissimma</t>
  </si>
  <si>
    <t>Unknown</t>
  </si>
  <si>
    <t>Celtis occidentalis*</t>
  </si>
  <si>
    <t>Carya cordiformis*</t>
  </si>
  <si>
    <t>Tilia americana*</t>
  </si>
  <si>
    <t>VP - 47</t>
  </si>
  <si>
    <t>VP - 48</t>
  </si>
  <si>
    <t>VP - 49</t>
  </si>
  <si>
    <t>VP - 50</t>
  </si>
  <si>
    <t>VP - 51</t>
  </si>
  <si>
    <t>VP - 52</t>
  </si>
  <si>
    <t>VP - 53</t>
  </si>
  <si>
    <t>VP - 54</t>
  </si>
  <si>
    <t>Pinus taeda</t>
  </si>
  <si>
    <t>Tree &amp; Shrub Species</t>
  </si>
  <si>
    <t>Estimated Tally Height (Feet)</t>
  </si>
  <si>
    <t>2-4</t>
  </si>
  <si>
    <t>4-6</t>
  </si>
  <si>
    <t>6-12</t>
  </si>
  <si>
    <t>Sassafras albidum</t>
  </si>
  <si>
    <t>Alnus serrulata</t>
  </si>
  <si>
    <t>Cercis canadensis</t>
  </si>
  <si>
    <t>TN Stream Mitigation Program</t>
  </si>
  <si>
    <t>Monitoring Protocol</t>
  </si>
  <si>
    <t>Appendix F</t>
  </si>
  <si>
    <t>VEGETATION MONITORING FORM</t>
  </si>
  <si>
    <t>Project Name:</t>
  </si>
  <si>
    <t>TSMP Project No.:</t>
  </si>
  <si>
    <t>Stream Name</t>
  </si>
  <si>
    <t>Stream Reach:</t>
  </si>
  <si>
    <t>Plot No.:</t>
  </si>
  <si>
    <t>Plot Size:</t>
  </si>
  <si>
    <t>Surveyors:</t>
  </si>
  <si>
    <t>Date:</t>
  </si>
  <si>
    <t>Stem Total</t>
  </si>
  <si>
    <t>Common</t>
  </si>
  <si>
    <t>Scientific</t>
  </si>
  <si>
    <t xml:space="preserve"> &lt;2</t>
  </si>
  <si>
    <t>Herbaceous, Invasive &amp; Vine Species</t>
  </si>
  <si>
    <t>Est. % Cover</t>
  </si>
  <si>
    <t>Notes</t>
  </si>
  <si>
    <t>White Oak</t>
  </si>
  <si>
    <t>Woody Invasives</t>
  </si>
  <si>
    <t>PROJECT, MY1</t>
  </si>
  <si>
    <t>Total Plots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</si>
</sst>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i/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sz val="10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Times New Roman"/>
      <family val="1"/>
    </font>
    <font>
      <b/>
      <i/>
      <sz val="11"/>
      <color theme="1"/>
      <name val="Calibri"/>
      <family val="2"/>
      <scheme val="minor"/>
    </font>
    <font>
      <i/>
      <sz val="10"/>
      <name val="Times New Roman"/>
      <family val="1"/>
    </font>
    <font>
      <sz val="10"/>
      <name val="Times New Roman"/>
      <family val="1"/>
    </font>
    <font>
      <b/>
      <sz val="14"/>
      <color theme="1"/>
      <name val="Calibri"/>
      <family val="2"/>
      <scheme val="minor"/>
    </font>
    <font>
      <sz val="10"/>
      <color rgb="FF000000"/>
      <name val="Times New Roman"/>
      <family val="1"/>
    </font>
    <font>
      <i/>
      <sz val="10"/>
      <color rgb="FF000000"/>
      <name val="Times New Roman"/>
      <family val="1"/>
    </font>
    <font>
      <b/>
      <i/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i/>
      <sz val="11"/>
      <color rgb="FF000000"/>
      <name val="Calibri"/>
      <family val="2"/>
      <scheme val="minor"/>
    </font>
    <font>
      <i/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rgb="FF00000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6">
    <xf numFmtId="0" fontId="0" fillId="0" borderId="0" xfId="0"/>
    <xf numFmtId="10" fontId="0" fillId="0" borderId="0" xfId="0" applyNumberFormat="1"/>
    <xf numFmtId="0" fontId="0" fillId="0" borderId="0" xfId="0" applyBorder="1"/>
    <xf numFmtId="10" fontId="0" fillId="0" borderId="0" xfId="1" applyNumberFormat="1" applyFont="1"/>
    <xf numFmtId="1" fontId="0" fillId="0" borderId="0" xfId="0" applyNumberFormat="1"/>
    <xf numFmtId="37" fontId="4" fillId="0" borderId="4" xfId="0" applyNumberFormat="1" applyFont="1" applyBorder="1" applyAlignment="1">
      <alignment horizontal="right" vertical="center" wrapText="1"/>
    </xf>
    <xf numFmtId="0" fontId="0" fillId="0" borderId="0" xfId="0" applyFill="1"/>
    <xf numFmtId="0" fontId="0" fillId="0" borderId="0" xfId="0" applyFill="1" applyBorder="1"/>
    <xf numFmtId="0" fontId="3" fillId="0" borderId="1" xfId="0" applyFont="1" applyFill="1" applyBorder="1" applyAlignment="1">
      <alignment vertical="center" wrapText="1"/>
    </xf>
    <xf numFmtId="37" fontId="4" fillId="0" borderId="2" xfId="1" applyNumberFormat="1" applyFont="1" applyFill="1" applyBorder="1" applyAlignment="1">
      <alignment horizontal="right" vertical="center" wrapText="1"/>
    </xf>
    <xf numFmtId="0" fontId="0" fillId="0" borderId="0" xfId="0" applyFill="1" applyBorder="1" applyAlignment="1">
      <alignment horizontal="left"/>
    </xf>
    <xf numFmtId="0" fontId="0" fillId="3" borderId="6" xfId="0" applyFill="1" applyBorder="1" applyAlignment="1">
      <alignment horizontal="left" vertical="center"/>
    </xf>
    <xf numFmtId="0" fontId="0" fillId="3" borderId="6" xfId="0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49" fontId="8" fillId="3" borderId="2" xfId="0" applyNumberFormat="1" applyFont="1" applyFill="1" applyBorder="1" applyAlignment="1">
      <alignment horizontal="center" vertical="center"/>
    </xf>
    <xf numFmtId="0" fontId="0" fillId="0" borderId="1" xfId="0" applyFill="1" applyBorder="1"/>
    <xf numFmtId="1" fontId="0" fillId="2" borderId="1" xfId="0" applyNumberFormat="1" applyFill="1" applyBorder="1"/>
    <xf numFmtId="1" fontId="3" fillId="0" borderId="1" xfId="0" applyNumberFormat="1" applyFont="1" applyBorder="1" applyAlignment="1">
      <alignment vertical="center" wrapText="1"/>
    </xf>
    <xf numFmtId="1" fontId="4" fillId="0" borderId="1" xfId="0" applyNumberFormat="1" applyFont="1" applyFill="1" applyBorder="1" applyAlignment="1">
      <alignment horizontal="right" vertical="center" wrapText="1"/>
    </xf>
    <xf numFmtId="49" fontId="7" fillId="3" borderId="1" xfId="0" applyNumberFormat="1" applyFont="1" applyFill="1" applyBorder="1" applyAlignment="1">
      <alignment horizontal="center"/>
    </xf>
    <xf numFmtId="2" fontId="5" fillId="3" borderId="1" xfId="0" applyNumberFormat="1" applyFont="1" applyFill="1" applyBorder="1" applyAlignment="1">
      <alignment horizontal="center" vertical="center"/>
    </xf>
    <xf numFmtId="0" fontId="0" fillId="4" borderId="1" xfId="0" applyFill="1" applyBorder="1"/>
    <xf numFmtId="49" fontId="8" fillId="4" borderId="1" xfId="0" applyNumberFormat="1" applyFont="1" applyFill="1" applyBorder="1" applyAlignment="1">
      <alignment horizontal="center" vertical="center" wrapText="1"/>
    </xf>
    <xf numFmtId="49" fontId="7" fillId="4" borderId="1" xfId="0" applyNumberFormat="1" applyFont="1" applyFill="1" applyBorder="1" applyAlignment="1">
      <alignment horizontal="center"/>
    </xf>
    <xf numFmtId="0" fontId="7" fillId="4" borderId="1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vertical="center" wrapText="1"/>
    </xf>
    <xf numFmtId="1" fontId="2" fillId="0" borderId="1" xfId="0" applyNumberFormat="1" applyFont="1" applyFill="1" applyBorder="1" applyAlignment="1">
      <alignment vertical="center" wrapText="1"/>
    </xf>
    <xf numFmtId="10" fontId="4" fillId="0" borderId="4" xfId="0" applyNumberFormat="1" applyFont="1" applyFill="1" applyBorder="1" applyAlignment="1">
      <alignment horizontal="right" vertical="center" wrapText="1"/>
    </xf>
    <xf numFmtId="1" fontId="3" fillId="0" borderId="1" xfId="0" applyNumberFormat="1" applyFont="1" applyFill="1" applyBorder="1" applyAlignment="1">
      <alignment vertical="center" wrapText="1"/>
    </xf>
    <xf numFmtId="10" fontId="0" fillId="2" borderId="1" xfId="0" applyNumberFormat="1" applyFill="1" applyBorder="1" applyAlignment="1">
      <alignment horizontal="center"/>
    </xf>
    <xf numFmtId="0" fontId="6" fillId="0" borderId="0" xfId="0" applyFont="1" applyFill="1"/>
    <xf numFmtId="0" fontId="2" fillId="0" borderId="1" xfId="0" applyFont="1" applyBorder="1" applyAlignment="1">
      <alignment horizontal="right" vertical="center" wrapText="1"/>
    </xf>
    <xf numFmtId="0" fontId="9" fillId="0" borderId="0" xfId="0" applyFont="1" applyFill="1"/>
    <xf numFmtId="37" fontId="0" fillId="2" borderId="0" xfId="0" applyNumberFormat="1" applyFill="1"/>
    <xf numFmtId="0" fontId="0" fillId="0" borderId="0" xfId="0" applyAlignment="1">
      <alignment horizontal="center"/>
    </xf>
    <xf numFmtId="0" fontId="4" fillId="2" borderId="4" xfId="0" applyFont="1" applyFill="1" applyBorder="1" applyAlignment="1">
      <alignment horizontal="right" vertical="center" wrapText="1"/>
    </xf>
    <xf numFmtId="37" fontId="4" fillId="2" borderId="2" xfId="1" applyNumberFormat="1" applyFont="1" applyFill="1" applyBorder="1" applyAlignment="1">
      <alignment horizontal="right" vertical="center" wrapText="1"/>
    </xf>
    <xf numFmtId="1" fontId="3" fillId="2" borderId="1" xfId="0" applyNumberFormat="1" applyFont="1" applyFill="1" applyBorder="1" applyAlignment="1">
      <alignment vertical="center" wrapText="1"/>
    </xf>
    <xf numFmtId="1" fontId="4" fillId="2" borderId="1" xfId="0" applyNumberFormat="1" applyFont="1" applyFill="1" applyBorder="1" applyAlignment="1">
      <alignment horizontal="right" vertical="center" wrapText="1"/>
    </xf>
    <xf numFmtId="0" fontId="0" fillId="2" borderId="0" xfId="0" applyFill="1"/>
    <xf numFmtId="0" fontId="7" fillId="2" borderId="0" xfId="0" applyFont="1" applyFill="1"/>
    <xf numFmtId="0" fontId="0" fillId="4" borderId="5" xfId="0" applyFill="1" applyBorder="1"/>
    <xf numFmtId="0" fontId="7" fillId="4" borderId="5" xfId="0" applyNumberFormat="1" applyFont="1" applyFill="1" applyBorder="1" applyAlignment="1">
      <alignment horizontal="center"/>
    </xf>
    <xf numFmtId="0" fontId="2" fillId="0" borderId="5" xfId="0" applyFont="1" applyFill="1" applyBorder="1" applyAlignment="1">
      <alignment vertical="center" wrapText="1"/>
    </xf>
    <xf numFmtId="0" fontId="2" fillId="0" borderId="4" xfId="0" applyFont="1" applyBorder="1" applyAlignment="1">
      <alignment horizontal="right" vertical="center" wrapText="1"/>
    </xf>
    <xf numFmtId="37" fontId="4" fillId="2" borderId="4" xfId="1" applyNumberFormat="1" applyFont="1" applyFill="1" applyBorder="1" applyAlignment="1">
      <alignment horizontal="right" vertical="center" wrapText="1"/>
    </xf>
    <xf numFmtId="9" fontId="0" fillId="0" borderId="0" xfId="1" applyFont="1"/>
    <xf numFmtId="10" fontId="4" fillId="2" borderId="4" xfId="0" applyNumberFormat="1" applyFont="1" applyFill="1" applyBorder="1" applyAlignment="1">
      <alignment horizontal="right" vertical="center" wrapText="1"/>
    </xf>
    <xf numFmtId="1" fontId="4" fillId="5" borderId="1" xfId="0" applyNumberFormat="1" applyFont="1" applyFill="1" applyBorder="1" applyAlignment="1">
      <alignment horizontal="right" vertical="center" wrapText="1"/>
    </xf>
    <xf numFmtId="0" fontId="4" fillId="0" borderId="4" xfId="0" applyFont="1" applyFill="1" applyBorder="1" applyAlignment="1">
      <alignment horizontal="right" vertical="center" wrapText="1"/>
    </xf>
    <xf numFmtId="0" fontId="12" fillId="0" borderId="0" xfId="0" applyFont="1" applyFill="1"/>
    <xf numFmtId="0" fontId="0" fillId="0" borderId="6" xfId="0" applyFill="1" applyBorder="1" applyAlignment="1">
      <alignment horizontal="left" vertical="center"/>
    </xf>
    <xf numFmtId="0" fontId="0" fillId="0" borderId="6" xfId="0" applyFill="1" applyBorder="1" applyAlignment="1">
      <alignment horizontal="center" vertical="center"/>
    </xf>
    <xf numFmtId="2" fontId="5" fillId="0" borderId="1" xfId="0" applyNumberFormat="1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9" fontId="8" fillId="6" borderId="2" xfId="0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right" vertical="center" wrapText="1"/>
    </xf>
    <xf numFmtId="0" fontId="2" fillId="0" borderId="1" xfId="0" applyFont="1" applyFill="1" applyBorder="1" applyAlignment="1">
      <alignment horizontal="right" vertical="center" wrapText="1"/>
    </xf>
    <xf numFmtId="37" fontId="4" fillId="0" borderId="4" xfId="0" applyNumberFormat="1" applyFont="1" applyFill="1" applyBorder="1" applyAlignment="1">
      <alignment horizontal="right" vertical="center" wrapText="1"/>
    </xf>
    <xf numFmtId="0" fontId="0" fillId="0" borderId="5" xfId="0" applyFill="1" applyBorder="1"/>
    <xf numFmtId="1" fontId="4" fillId="0" borderId="8" xfId="0" applyNumberFormat="1" applyFont="1" applyFill="1" applyBorder="1" applyAlignment="1">
      <alignment horizontal="right" vertical="center" wrapText="1"/>
    </xf>
    <xf numFmtId="0" fontId="0" fillId="0" borderId="8" xfId="0" applyFill="1" applyBorder="1"/>
    <xf numFmtId="0" fontId="0" fillId="0" borderId="9" xfId="0" applyFill="1" applyBorder="1"/>
    <xf numFmtId="0" fontId="12" fillId="0" borderId="0" xfId="0" applyFont="1" applyFill="1" applyAlignment="1">
      <alignment horizontal="center" wrapText="1"/>
    </xf>
    <xf numFmtId="2" fontId="5" fillId="0" borderId="8" xfId="0" applyNumberFormat="1" applyFont="1" applyFill="1" applyBorder="1" applyAlignment="1">
      <alignment horizontal="center" vertical="center"/>
    </xf>
    <xf numFmtId="1" fontId="0" fillId="2" borderId="8" xfId="0" applyNumberFormat="1" applyFill="1" applyBorder="1"/>
    <xf numFmtId="49" fontId="7" fillId="6" borderId="8" xfId="0" applyNumberFormat="1" applyFont="1" applyFill="1" applyBorder="1" applyAlignment="1">
      <alignment horizontal="center"/>
    </xf>
    <xf numFmtId="10" fontId="4" fillId="0" borderId="0" xfId="0" applyNumberFormat="1" applyFont="1" applyFill="1" applyBorder="1" applyAlignment="1">
      <alignment horizontal="right" vertical="center" wrapText="1"/>
    </xf>
    <xf numFmtId="0" fontId="4" fillId="0" borderId="0" xfId="0" applyFont="1" applyFill="1" applyBorder="1" applyAlignment="1">
      <alignment horizontal="right" vertical="center" wrapText="1"/>
    </xf>
    <xf numFmtId="37" fontId="0" fillId="2" borderId="8" xfId="0" applyNumberForma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0" fontId="0" fillId="5" borderId="0" xfId="0" applyFill="1"/>
    <xf numFmtId="0" fontId="3" fillId="2" borderId="8" xfId="0" applyFont="1" applyFill="1" applyBorder="1" applyAlignment="1">
      <alignment vertical="center" wrapText="1"/>
    </xf>
    <xf numFmtId="1" fontId="4" fillId="2" borderId="8" xfId="0" applyNumberFormat="1" applyFont="1" applyFill="1" applyBorder="1" applyAlignment="1">
      <alignment horizontal="right" vertical="center" wrapText="1"/>
    </xf>
    <xf numFmtId="0" fontId="10" fillId="2" borderId="8" xfId="0" applyFont="1" applyFill="1" applyBorder="1" applyAlignment="1">
      <alignment vertical="center" wrapText="1"/>
    </xf>
    <xf numFmtId="0" fontId="3" fillId="0" borderId="8" xfId="0" applyFont="1" applyFill="1" applyBorder="1" applyAlignment="1">
      <alignment vertical="center" wrapText="1"/>
    </xf>
    <xf numFmtId="0" fontId="4" fillId="2" borderId="8" xfId="0" applyFont="1" applyFill="1" applyBorder="1" applyAlignment="1">
      <alignment horizontal="right" vertical="center" wrapText="1"/>
    </xf>
    <xf numFmtId="0" fontId="4" fillId="0" borderId="8" xfId="0" applyFont="1" applyFill="1" applyBorder="1" applyAlignment="1">
      <alignment horizontal="right" vertical="center" wrapText="1"/>
    </xf>
    <xf numFmtId="1" fontId="4" fillId="2" borderId="4" xfId="0" applyNumberFormat="1" applyFont="1" applyFill="1" applyBorder="1" applyAlignment="1">
      <alignment horizontal="right" vertical="center" wrapText="1"/>
    </xf>
    <xf numFmtId="1" fontId="15" fillId="0" borderId="8" xfId="0" applyNumberFormat="1" applyFont="1" applyFill="1" applyBorder="1" applyAlignment="1">
      <alignment horizontal="right" vertical="center" wrapText="1"/>
    </xf>
    <xf numFmtId="1" fontId="15" fillId="2" borderId="8" xfId="0" applyNumberFormat="1" applyFont="1" applyFill="1" applyBorder="1" applyAlignment="1">
      <alignment horizontal="right" vertical="center" wrapText="1"/>
    </xf>
    <xf numFmtId="0" fontId="11" fillId="2" borderId="4" xfId="0" applyFont="1" applyFill="1" applyBorder="1" applyAlignment="1">
      <alignment horizontal="right" vertical="center" wrapText="1"/>
    </xf>
    <xf numFmtId="1" fontId="4" fillId="0" borderId="4" xfId="0" applyNumberFormat="1" applyFont="1" applyFill="1" applyBorder="1" applyAlignment="1">
      <alignment horizontal="right" vertical="center" wrapText="1"/>
    </xf>
    <xf numFmtId="1" fontId="15" fillId="0" borderId="4" xfId="0" applyNumberFormat="1" applyFont="1" applyFill="1" applyBorder="1" applyAlignment="1">
      <alignment horizontal="right" vertical="center" wrapText="1"/>
    </xf>
    <xf numFmtId="0" fontId="3" fillId="0" borderId="4" xfId="0" applyFont="1" applyFill="1" applyBorder="1" applyAlignment="1">
      <alignment horizontal="right" vertical="center" wrapText="1"/>
    </xf>
    <xf numFmtId="1" fontId="4" fillId="0" borderId="8" xfId="1" applyNumberFormat="1" applyFont="1" applyFill="1" applyBorder="1" applyAlignment="1">
      <alignment horizontal="right" vertical="center" wrapText="1"/>
    </xf>
    <xf numFmtId="1" fontId="0" fillId="0" borderId="8" xfId="0" applyNumberFormat="1" applyFill="1" applyBorder="1"/>
    <xf numFmtId="1" fontId="4" fillId="2" borderId="8" xfId="1" applyNumberFormat="1" applyFont="1" applyFill="1" applyBorder="1" applyAlignment="1">
      <alignment horizontal="right" vertical="center" wrapText="1"/>
    </xf>
    <xf numFmtId="0" fontId="0" fillId="2" borderId="8" xfId="0" applyFill="1" applyBorder="1"/>
    <xf numFmtId="1" fontId="0" fillId="0" borderId="8" xfId="0" applyNumberFormat="1" applyFont="1" applyFill="1" applyBorder="1"/>
    <xf numFmtId="0" fontId="0" fillId="0" borderId="8" xfId="0" applyFont="1" applyFill="1" applyBorder="1"/>
    <xf numFmtId="1" fontId="0" fillId="2" borderId="8" xfId="0" applyNumberFormat="1" applyFont="1" applyFill="1" applyBorder="1"/>
    <xf numFmtId="1" fontId="9" fillId="2" borderId="8" xfId="0" applyNumberFormat="1" applyFont="1" applyFill="1" applyBorder="1"/>
    <xf numFmtId="0" fontId="0" fillId="2" borderId="8" xfId="0" applyFont="1" applyFill="1" applyBorder="1"/>
    <xf numFmtId="0" fontId="9" fillId="2" borderId="8" xfId="0" applyFont="1" applyFill="1" applyBorder="1"/>
    <xf numFmtId="1" fontId="9" fillId="0" borderId="8" xfId="0" applyNumberFormat="1" applyFont="1" applyFill="1" applyBorder="1"/>
    <xf numFmtId="0" fontId="9" fillId="0" borderId="8" xfId="0" applyFont="1" applyFill="1" applyBorder="1"/>
    <xf numFmtId="1" fontId="11" fillId="2" borderId="8" xfId="0" applyNumberFormat="1" applyFont="1" applyFill="1" applyBorder="1" applyAlignment="1">
      <alignment horizontal="right" vertical="center" wrapText="1"/>
    </xf>
    <xf numFmtId="1" fontId="11" fillId="2" borderId="8" xfId="1" applyNumberFormat="1" applyFont="1" applyFill="1" applyBorder="1" applyAlignment="1">
      <alignment horizontal="right" vertical="center" wrapText="1"/>
    </xf>
    <xf numFmtId="1" fontId="7" fillId="2" borderId="8" xfId="0" applyNumberFormat="1" applyFont="1" applyFill="1" applyBorder="1"/>
    <xf numFmtId="0" fontId="7" fillId="2" borderId="8" xfId="0" applyFont="1" applyFill="1" applyBorder="1"/>
    <xf numFmtId="1" fontId="15" fillId="0" borderId="8" xfId="1" applyNumberFormat="1" applyFont="1" applyFill="1" applyBorder="1" applyAlignment="1">
      <alignment horizontal="right" vertical="center" wrapText="1"/>
    </xf>
    <xf numFmtId="1" fontId="15" fillId="2" borderId="8" xfId="1" applyNumberFormat="1" applyFont="1" applyFill="1" applyBorder="1" applyAlignment="1">
      <alignment horizontal="right" vertical="center" wrapText="1"/>
    </xf>
    <xf numFmtId="0" fontId="14" fillId="0" borderId="8" xfId="0" applyFont="1" applyFill="1" applyBorder="1" applyAlignment="1">
      <alignment vertical="center" wrapText="1"/>
    </xf>
    <xf numFmtId="1" fontId="13" fillId="0" borderId="4" xfId="0" applyNumberFormat="1" applyFont="1" applyFill="1" applyBorder="1" applyAlignment="1">
      <alignment horizontal="right" vertical="center" wrapText="1"/>
    </xf>
    <xf numFmtId="0" fontId="13" fillId="0" borderId="4" xfId="0" applyFont="1" applyFill="1" applyBorder="1" applyAlignment="1">
      <alignment horizontal="right" vertical="center" wrapText="1"/>
    </xf>
    <xf numFmtId="1" fontId="4" fillId="0" borderId="5" xfId="0" applyNumberFormat="1" applyFont="1" applyFill="1" applyBorder="1" applyAlignment="1">
      <alignment horizontal="right" vertical="center" wrapText="1"/>
    </xf>
    <xf numFmtId="49" fontId="7" fillId="7" borderId="1" xfId="0" applyNumberFormat="1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37" fontId="4" fillId="5" borderId="2" xfId="1" applyNumberFormat="1" applyFont="1" applyFill="1" applyBorder="1" applyAlignment="1">
      <alignment horizontal="right" vertical="center" wrapText="1"/>
    </xf>
    <xf numFmtId="37" fontId="11" fillId="5" borderId="2" xfId="1" applyNumberFormat="1" applyFont="1" applyFill="1" applyBorder="1" applyAlignment="1">
      <alignment horizontal="right" vertical="center" wrapText="1"/>
    </xf>
    <xf numFmtId="37" fontId="4" fillId="5" borderId="4" xfId="1" applyNumberFormat="1" applyFont="1" applyFill="1" applyBorder="1" applyAlignment="1">
      <alignment horizontal="right" vertical="center" wrapText="1"/>
    </xf>
    <xf numFmtId="37" fontId="0" fillId="2" borderId="1" xfId="0" applyNumberFormat="1" applyFill="1" applyBorder="1" applyAlignment="1">
      <alignment horizontal="center"/>
    </xf>
    <xf numFmtId="1" fontId="4" fillId="2" borderId="5" xfId="0" applyNumberFormat="1" applyFont="1" applyFill="1" applyBorder="1" applyAlignment="1">
      <alignment horizontal="right" vertical="center" wrapText="1"/>
    </xf>
    <xf numFmtId="0" fontId="7" fillId="5" borderId="0" xfId="0" applyFont="1" applyFill="1"/>
    <xf numFmtId="0" fontId="0" fillId="0" borderId="3" xfId="0" applyFill="1" applyBorder="1"/>
    <xf numFmtId="0" fontId="7" fillId="4" borderId="0" xfId="0" applyFont="1" applyFill="1" applyAlignment="1">
      <alignment horizontal="center"/>
    </xf>
    <xf numFmtId="1" fontId="0" fillId="0" borderId="1" xfId="0" applyNumberFormat="1" applyFill="1" applyBorder="1"/>
    <xf numFmtId="1" fontId="16" fillId="0" borderId="8" xfId="0" applyNumberFormat="1" applyFont="1" applyFill="1" applyBorder="1" applyAlignment="1">
      <alignment horizontal="right" vertical="center" wrapText="1"/>
    </xf>
    <xf numFmtId="1" fontId="16" fillId="2" borderId="8" xfId="0" applyNumberFormat="1" applyFont="1" applyFill="1" applyBorder="1" applyAlignment="1">
      <alignment horizontal="right" vertical="center" wrapText="1"/>
    </xf>
    <xf numFmtId="1" fontId="17" fillId="0" borderId="8" xfId="0" applyNumberFormat="1" applyFont="1" applyFill="1" applyBorder="1" applyAlignment="1">
      <alignment horizontal="right" vertical="center" wrapText="1"/>
    </xf>
    <xf numFmtId="1" fontId="17" fillId="2" borderId="8" xfId="0" applyNumberFormat="1" applyFont="1" applyFill="1" applyBorder="1" applyAlignment="1">
      <alignment horizontal="right" vertical="center" wrapText="1"/>
    </xf>
    <xf numFmtId="1" fontId="7" fillId="2" borderId="8" xfId="0" applyNumberFormat="1" applyFont="1" applyFill="1" applyBorder="1" applyAlignment="1">
      <alignment horizontal="right" vertical="center" wrapText="1"/>
    </xf>
    <xf numFmtId="0" fontId="19" fillId="2" borderId="4" xfId="0" applyFont="1" applyFill="1" applyBorder="1" applyAlignment="1">
      <alignment horizontal="right" vertical="center" wrapText="1"/>
    </xf>
    <xf numFmtId="1" fontId="19" fillId="2" borderId="8" xfId="0" applyNumberFormat="1" applyFont="1" applyFill="1" applyBorder="1" applyAlignment="1">
      <alignment horizontal="right" vertical="center" wrapText="1"/>
    </xf>
    <xf numFmtId="1" fontId="19" fillId="2" borderId="8" xfId="1" applyNumberFormat="1" applyFont="1" applyFill="1" applyBorder="1" applyAlignment="1">
      <alignment horizontal="right" vertical="center" wrapText="1"/>
    </xf>
    <xf numFmtId="1" fontId="20" fillId="2" borderId="8" xfId="0" applyNumberFormat="1" applyFont="1" applyFill="1" applyBorder="1" applyAlignment="1">
      <alignment horizontal="right" vertical="center" wrapText="1"/>
    </xf>
    <xf numFmtId="0" fontId="3" fillId="2" borderId="5" xfId="0" applyFont="1" applyFill="1" applyBorder="1" applyAlignment="1">
      <alignment vertical="center" wrapText="1"/>
    </xf>
    <xf numFmtId="0" fontId="2" fillId="2" borderId="5" xfId="0" applyFon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1" fontId="15" fillId="2" borderId="4" xfId="0" applyNumberFormat="1" applyFont="1" applyFill="1" applyBorder="1" applyAlignment="1">
      <alignment horizontal="right" vertical="center" wrapText="1"/>
    </xf>
    <xf numFmtId="0" fontId="4" fillId="2" borderId="2" xfId="0" applyFont="1" applyFill="1" applyBorder="1" applyAlignment="1">
      <alignment horizontal="right" vertical="center" wrapText="1"/>
    </xf>
    <xf numFmtId="1" fontId="13" fillId="0" borderId="8" xfId="0" applyNumberFormat="1" applyFont="1" applyFill="1" applyBorder="1" applyAlignment="1">
      <alignment horizontal="right" vertical="center" wrapText="1"/>
    </xf>
    <xf numFmtId="1" fontId="19" fillId="2" borderId="3" xfId="0" applyNumberFormat="1" applyFont="1" applyFill="1" applyBorder="1" applyAlignment="1">
      <alignment horizontal="right" vertical="center" wrapText="1"/>
    </xf>
    <xf numFmtId="1" fontId="18" fillId="2" borderId="8" xfId="0" applyNumberFormat="1" applyFont="1" applyFill="1" applyBorder="1" applyAlignment="1">
      <alignment vertical="center" wrapText="1"/>
    </xf>
    <xf numFmtId="37" fontId="11" fillId="2" borderId="2" xfId="1" applyNumberFormat="1" applyFont="1" applyFill="1" applyBorder="1" applyAlignment="1">
      <alignment horizontal="right" vertical="center" wrapText="1"/>
    </xf>
    <xf numFmtId="10" fontId="4" fillId="0" borderId="4" xfId="0" applyNumberFormat="1" applyFont="1" applyBorder="1" applyAlignment="1">
      <alignment horizontal="right" vertical="center" wrapText="1"/>
    </xf>
    <xf numFmtId="0" fontId="2" fillId="2" borderId="5" xfId="0" applyFon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0" fontId="21" fillId="8" borderId="0" xfId="0" applyFont="1" applyFill="1"/>
    <xf numFmtId="0" fontId="0" fillId="8" borderId="0" xfId="0" applyFill="1"/>
    <xf numFmtId="0" fontId="21" fillId="8" borderId="0" xfId="0" applyFont="1" applyFill="1" applyAlignment="1">
      <alignment horizontal="right"/>
    </xf>
    <xf numFmtId="0" fontId="6" fillId="0" borderId="0" xfId="0" applyFont="1" applyFill="1" applyAlignment="1">
      <alignment horizontal="center"/>
    </xf>
    <xf numFmtId="0" fontId="0" fillId="0" borderId="0" xfId="0" applyFill="1" applyAlignment="1">
      <alignment horizontal="right"/>
    </xf>
    <xf numFmtId="0" fontId="0" fillId="0" borderId="10" xfId="0" applyFill="1" applyBorder="1"/>
    <xf numFmtId="0" fontId="6" fillId="0" borderId="0" xfId="0" applyFont="1" applyFill="1" applyAlignment="1"/>
    <xf numFmtId="0" fontId="6" fillId="0" borderId="17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7" xfId="0" quotePrefix="1" applyFont="1" applyBorder="1" applyAlignment="1">
      <alignment horizontal="center"/>
    </xf>
    <xf numFmtId="0" fontId="6" fillId="0" borderId="19" xfId="0" quotePrefix="1" applyFont="1" applyBorder="1" applyAlignment="1">
      <alignment horizontal="center"/>
    </xf>
    <xf numFmtId="0" fontId="6" fillId="0" borderId="20" xfId="0" quotePrefix="1" applyFont="1" applyBorder="1" applyAlignment="1">
      <alignment horizontal="center"/>
    </xf>
    <xf numFmtId="0" fontId="0" fillId="0" borderId="22" xfId="0" applyFill="1" applyBorder="1" applyAlignment="1">
      <alignment horizontal="left"/>
    </xf>
    <xf numFmtId="0" fontId="22" fillId="0" borderId="10" xfId="0" applyFont="1" applyFill="1" applyBorder="1" applyAlignment="1">
      <alignment horizontal="left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Fill="1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17" xfId="0" applyFill="1" applyBorder="1" applyAlignment="1">
      <alignment horizontal="left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0" borderId="20" xfId="0" applyFont="1" applyBorder="1" applyAlignment="1">
      <alignment horizontal="center" vertical="center"/>
    </xf>
    <xf numFmtId="0" fontId="22" fillId="0" borderId="16" xfId="0" applyFont="1" applyFill="1" applyBorder="1" applyAlignment="1">
      <alignment horizontal="left"/>
    </xf>
    <xf numFmtId="0" fontId="22" fillId="0" borderId="24" xfId="0" applyFont="1" applyFill="1" applyBorder="1" applyAlignment="1">
      <alignment horizontal="left"/>
    </xf>
    <xf numFmtId="0" fontId="22" fillId="0" borderId="42" xfId="0" applyFont="1" applyFill="1" applyBorder="1" applyAlignment="1">
      <alignment horizontal="left"/>
    </xf>
    <xf numFmtId="0" fontId="0" fillId="0" borderId="21" xfId="0" applyBorder="1" applyAlignment="1">
      <alignment horizontal="center"/>
    </xf>
    <xf numFmtId="9" fontId="0" fillId="0" borderId="4" xfId="1" applyFont="1" applyBorder="1" applyAlignment="1">
      <alignment horizontal="center"/>
    </xf>
    <xf numFmtId="0" fontId="0" fillId="3" borderId="46" xfId="0" applyFill="1" applyBorder="1"/>
    <xf numFmtId="0" fontId="6" fillId="0" borderId="0" xfId="0" applyFont="1" applyAlignment="1">
      <alignment horizontal="center"/>
    </xf>
    <xf numFmtId="2" fontId="6" fillId="3" borderId="5" xfId="0" applyNumberFormat="1" applyFont="1" applyFill="1" applyBorder="1" applyAlignment="1">
      <alignment horizontal="center"/>
    </xf>
    <xf numFmtId="2" fontId="6" fillId="0" borderId="7" xfId="0" applyNumberFormat="1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2" fillId="0" borderId="5" xfId="0" applyFont="1" applyBorder="1" applyAlignment="1">
      <alignment vertical="center"/>
    </xf>
    <xf numFmtId="0" fontId="0" fillId="0" borderId="7" xfId="0" applyBorder="1" applyAlignment="1"/>
    <xf numFmtId="0" fontId="0" fillId="0" borderId="2" xfId="0" applyBorder="1" applyAlignment="1"/>
    <xf numFmtId="0" fontId="2" fillId="0" borderId="5" xfId="0" applyFont="1" applyBorder="1" applyAlignment="1"/>
    <xf numFmtId="0" fontId="0" fillId="2" borderId="8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5" xfId="0" applyFont="1" applyFill="1" applyBorder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2" xfId="0" applyFill="1" applyBorder="1" applyAlignment="1">
      <alignment horizontal="left"/>
    </xf>
    <xf numFmtId="2" fontId="6" fillId="0" borderId="5" xfId="0" applyNumberFormat="1" applyFont="1" applyFill="1" applyBorder="1" applyAlignment="1">
      <alignment horizontal="center"/>
    </xf>
    <xf numFmtId="2" fontId="6" fillId="0" borderId="7" xfId="0" applyNumberFormat="1" applyFont="1" applyFill="1" applyBorder="1" applyAlignment="1">
      <alignment horizontal="center"/>
    </xf>
    <xf numFmtId="2" fontId="6" fillId="0" borderId="2" xfId="0" applyNumberFormat="1" applyFont="1" applyFill="1" applyBorder="1" applyAlignment="1">
      <alignment horizont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2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49" fontId="0" fillId="5" borderId="40" xfId="0" applyNumberFormat="1" applyFill="1" applyBorder="1" applyAlignment="1">
      <alignment horizontal="left"/>
    </xf>
    <xf numFmtId="49" fontId="0" fillId="5" borderId="0" xfId="0" applyNumberFormat="1" applyFill="1" applyBorder="1" applyAlignment="1">
      <alignment horizontal="left"/>
    </xf>
    <xf numFmtId="49" fontId="0" fillId="5" borderId="41" xfId="0" applyNumberFormat="1" applyFill="1" applyBorder="1" applyAlignment="1">
      <alignment horizontal="left"/>
    </xf>
    <xf numFmtId="0" fontId="6" fillId="0" borderId="43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49" fontId="0" fillId="5" borderId="44" xfId="0" applyNumberFormat="1" applyFill="1" applyBorder="1" applyAlignment="1">
      <alignment horizontal="left"/>
    </xf>
    <xf numFmtId="49" fontId="0" fillId="5" borderId="45" xfId="0" applyNumberFormat="1" applyFill="1" applyBorder="1" applyAlignment="1">
      <alignment horizontal="left"/>
    </xf>
    <xf numFmtId="49" fontId="0" fillId="5" borderId="4" xfId="0" applyNumberFormat="1" applyFill="1" applyBorder="1" applyAlignment="1">
      <alignment horizontal="left"/>
    </xf>
    <xf numFmtId="0" fontId="6" fillId="0" borderId="37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49" fontId="6" fillId="5" borderId="38" xfId="0" applyNumberFormat="1" applyFont="1" applyFill="1" applyBorder="1" applyAlignment="1">
      <alignment horizontal="left"/>
    </xf>
    <xf numFmtId="49" fontId="6" fillId="5" borderId="39" xfId="0" applyNumberFormat="1" applyFont="1" applyFill="1" applyBorder="1" applyAlignment="1">
      <alignment horizontal="left"/>
    </xf>
    <xf numFmtId="49" fontId="6" fillId="5" borderId="37" xfId="0" applyNumberFormat="1" applyFont="1" applyFill="1" applyBorder="1" applyAlignment="1">
      <alignment horizontal="left"/>
    </xf>
    <xf numFmtId="0" fontId="12" fillId="0" borderId="0" xfId="0" applyFont="1" applyFill="1" applyAlignment="1">
      <alignment horizontal="center"/>
    </xf>
    <xf numFmtId="0" fontId="0" fillId="0" borderId="10" xfId="0" applyFill="1" applyBorder="1" applyAlignment="1"/>
    <xf numFmtId="0" fontId="0" fillId="0" borderId="11" xfId="0" applyFill="1" applyBorder="1" applyAlignment="1"/>
  </cellXfs>
  <cellStyles count="2">
    <cellStyle name="Normal" xfId="0" builtinId="0"/>
    <cellStyle name="Percent" xfId="1" builtinId="5"/>
  </cellStyles>
  <dxfs count="258"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9"/>
        </patternFill>
      </fill>
      <alignment horizontal="center" textRotation="0" indent="0" justifyLastLine="0" shrinkToFit="0" readingOrder="0"/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1" formatCode="0"/>
      <fill>
        <patternFill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ill>
        <patternFill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numFmt numFmtId="14" formatCode="0.00%"/>
      <fill>
        <patternFill>
          <fgColor indexed="64"/>
          <bgColor rgb="FFFFFF00"/>
        </patternFill>
      </fill>
    </dxf>
    <dxf>
      <font>
        <i/>
        <sz val="10"/>
        <color rgb="FF000000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auto="1"/>
        </left>
        <right/>
        <top style="medium">
          <color auto="1"/>
        </top>
        <bottom style="medium">
          <color auto="1"/>
        </bottom>
      </border>
    </dxf>
    <dxf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14" formatCode="0.0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9"/>
        </patternFill>
      </fill>
      <alignment horizontal="center" textRotation="0" indent="0" justifyLastLine="0" shrinkToFit="0" readingOrder="0"/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fill>
        <patternFill patternType="none">
          <fgColor rgb="FF000000"/>
          <bgColor rgb="FFFFFFFF"/>
        </patternFill>
      </fill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medium">
          <color auto="1"/>
        </vertical>
        <horizontal style="medium">
          <color auto="1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/>
        <horizontal/>
      </border>
    </dxf>
    <dxf>
      <font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1" formatCode="0"/>
      <fill>
        <patternFill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ill>
        <patternFill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Times New Roman"/>
        <scheme val="none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numFmt numFmtId="14" formatCode="0.00%"/>
      <fill>
        <patternFill>
          <fgColor indexed="64"/>
          <bgColor rgb="FFFFFF00"/>
        </patternFill>
      </fill>
    </dxf>
    <dxf>
      <font>
        <i/>
        <sz val="10"/>
        <color rgb="FF000000"/>
        <name val="Times New Roman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auto="1"/>
        </left>
        <right/>
        <top style="medium">
          <color auto="1"/>
        </top>
        <bottom style="medium">
          <color auto="1"/>
        </bottom>
      </border>
    </dxf>
    <dxf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N Plants"/>
    </sheetNames>
    <sheetDataSet>
      <sheetData sheetId="0">
        <row r="1">
          <cell r="A1" t="str">
            <v>Common Name</v>
          </cell>
          <cell r="B1" t="str">
            <v>Scientific Name</v>
          </cell>
        </row>
        <row r="2">
          <cell r="A2" t="str">
            <v>Alder</v>
          </cell>
          <cell r="B2" t="str">
            <v>Alnus serrulata</v>
          </cell>
        </row>
        <row r="3">
          <cell r="A3" t="str">
            <v>Allegheny Chinkapin</v>
          </cell>
          <cell r="B3" t="str">
            <v>Castanea pumila</v>
          </cell>
        </row>
        <row r="4">
          <cell r="A4" t="str">
            <v>American Beech</v>
          </cell>
          <cell r="B4" t="str">
            <v>Fagus grandifolia</v>
          </cell>
        </row>
        <row r="5">
          <cell r="A5" t="str">
            <v>American Elm</v>
          </cell>
          <cell r="B5" t="str">
            <v>Ulmus americana</v>
          </cell>
        </row>
        <row r="6">
          <cell r="A6" t="str">
            <v>American Holly</v>
          </cell>
          <cell r="B6" t="str">
            <v>Ilex opaca</v>
          </cell>
        </row>
        <row r="7">
          <cell r="A7" t="str">
            <v>American Linden</v>
          </cell>
          <cell r="B7" t="str">
            <v>Tilia americana</v>
          </cell>
        </row>
        <row r="8">
          <cell r="A8" t="str">
            <v>Baldcypress</v>
          </cell>
          <cell r="B8" t="str">
            <v>Taxodium distichum</v>
          </cell>
        </row>
        <row r="9">
          <cell r="A9" t="str">
            <v>Black Cherry</v>
          </cell>
          <cell r="B9" t="str">
            <v>Prunus serotina</v>
          </cell>
        </row>
        <row r="10">
          <cell r="A10" t="str">
            <v>Black Cherry</v>
          </cell>
          <cell r="B10" t="str">
            <v>Prunus serotina</v>
          </cell>
        </row>
        <row r="11">
          <cell r="A11" t="str">
            <v>Black Locust</v>
          </cell>
          <cell r="B11" t="str">
            <v>Robinia pseudoacacia</v>
          </cell>
        </row>
        <row r="12">
          <cell r="A12" t="str">
            <v>Black Oak</v>
          </cell>
          <cell r="B12" t="str">
            <v>Quercus velutina</v>
          </cell>
        </row>
        <row r="13">
          <cell r="A13" t="str">
            <v>Black Walnut</v>
          </cell>
          <cell r="B13" t="str">
            <v>Juglans nigra</v>
          </cell>
        </row>
        <row r="14">
          <cell r="A14" t="str">
            <v>Blackberry</v>
          </cell>
          <cell r="B14" t="str">
            <v>Rubus fruticosus</v>
          </cell>
        </row>
        <row r="15">
          <cell r="A15" t="str">
            <v>Blackgum</v>
          </cell>
          <cell r="B15" t="str">
            <v>Nyssa sylvatica</v>
          </cell>
        </row>
        <row r="16">
          <cell r="A16" t="str">
            <v>Box Elder</v>
          </cell>
          <cell r="B16" t="str">
            <v>Acer negundo</v>
          </cell>
        </row>
        <row r="17">
          <cell r="A17" t="str">
            <v>Buckeye</v>
          </cell>
          <cell r="B17" t="str">
            <v>Aesculus spp.</v>
          </cell>
        </row>
        <row r="18">
          <cell r="A18" t="str">
            <v>Buckthorn Bumelia</v>
          </cell>
          <cell r="B18" t="str">
            <v>Bumelia lycioides</v>
          </cell>
        </row>
        <row r="19">
          <cell r="A19" t="str">
            <v>Bur Oak</v>
          </cell>
          <cell r="B19" t="str">
            <v>Quercus macrocarpa</v>
          </cell>
        </row>
        <row r="20">
          <cell r="A20" t="str">
            <v>Buttonbush</v>
          </cell>
          <cell r="B20" t="str">
            <v>Cephalanthus occidentalis</v>
          </cell>
        </row>
        <row r="21">
          <cell r="A21" t="str">
            <v>Carolina Buckthorn</v>
          </cell>
          <cell r="B21" t="str">
            <v>Rhamnus caroliniana</v>
          </cell>
        </row>
        <row r="22">
          <cell r="A22" t="str">
            <v>Cherrybark Oak</v>
          </cell>
          <cell r="B22" t="str">
            <v>Quercus pagoda</v>
          </cell>
        </row>
        <row r="23">
          <cell r="A23" t="str">
            <v>Chestnut Oak</v>
          </cell>
          <cell r="B23" t="str">
            <v>Quercus prinus</v>
          </cell>
        </row>
        <row r="24">
          <cell r="A24" t="str">
            <v>Chinese Lespedeza</v>
          </cell>
          <cell r="B24" t="str">
            <v>Lespedeza cuneata</v>
          </cell>
        </row>
        <row r="25">
          <cell r="A25" t="str">
            <v>Chinkapin Oak</v>
          </cell>
          <cell r="B25" t="str">
            <v>Quercus muehlenbergii</v>
          </cell>
        </row>
        <row r="26">
          <cell r="A26" t="str">
            <v>Cucumbertree</v>
          </cell>
          <cell r="B26" t="str">
            <v>Magnolia acuminata</v>
          </cell>
        </row>
        <row r="27">
          <cell r="A27" t="str">
            <v>Devil’s Walking Stick</v>
          </cell>
          <cell r="B27" t="str">
            <v>Aralia spinosa</v>
          </cell>
        </row>
        <row r="28">
          <cell r="A28" t="str">
            <v>Dogwood</v>
          </cell>
          <cell r="B28" t="str">
            <v>Cornus florida</v>
          </cell>
        </row>
        <row r="29">
          <cell r="A29" t="str">
            <v>Eastern Hemlock</v>
          </cell>
          <cell r="B29" t="str">
            <v>Tsuga candensis</v>
          </cell>
        </row>
        <row r="30">
          <cell r="A30" t="str">
            <v>Eastern Red-Cedar</v>
          </cell>
          <cell r="B30" t="str">
            <v>Juniperus virginiana</v>
          </cell>
        </row>
        <row r="31">
          <cell r="A31" t="str">
            <v>Eastern White Pine</v>
          </cell>
          <cell r="B31" t="str">
            <v>Pinus strobus</v>
          </cell>
        </row>
        <row r="32">
          <cell r="A32" t="str">
            <v>False Indigo</v>
          </cell>
          <cell r="B32" t="str">
            <v>Amorpha fruticosa</v>
          </cell>
        </row>
        <row r="33">
          <cell r="A33" t="str">
            <v>Fringetree</v>
          </cell>
          <cell r="B33" t="str">
            <v>Chionanthus virginicus</v>
          </cell>
        </row>
        <row r="34">
          <cell r="A34" t="str">
            <v>Green Ash</v>
          </cell>
          <cell r="B34" t="str">
            <v>Fraxinus pennsylvanica</v>
          </cell>
        </row>
        <row r="35">
          <cell r="A35" t="str">
            <v>Hackberry</v>
          </cell>
          <cell r="B35" t="str">
            <v>Celtis occidentalis</v>
          </cell>
        </row>
        <row r="36">
          <cell r="A36" t="str">
            <v>Hawthorn</v>
          </cell>
          <cell r="B36" t="str">
            <v>Crateagus spp.</v>
          </cell>
        </row>
        <row r="37">
          <cell r="A37" t="str">
            <v>Hazelnut</v>
          </cell>
          <cell r="B37" t="str">
            <v>Corylus americana</v>
          </cell>
        </row>
        <row r="38">
          <cell r="A38" t="str">
            <v>Hickories</v>
          </cell>
          <cell r="B38" t="str">
            <v>Carya spp.</v>
          </cell>
        </row>
        <row r="39">
          <cell r="A39" t="str">
            <v>Hophornbeam</v>
          </cell>
          <cell r="B39" t="str">
            <v>Ostrya virginiana</v>
          </cell>
        </row>
        <row r="40">
          <cell r="A40" t="str">
            <v>Hornbeam</v>
          </cell>
          <cell r="B40" t="str">
            <v>Carpinus caroliniana</v>
          </cell>
        </row>
        <row r="41">
          <cell r="A41" t="str">
            <v>Japanese Honeysuckle</v>
          </cell>
          <cell r="B41" t="str">
            <v>Lonicera japonica</v>
          </cell>
        </row>
        <row r="42">
          <cell r="A42" t="str">
            <v>Johnson Grass</v>
          </cell>
          <cell r="B42" t="str">
            <v>Sorghum halepense</v>
          </cell>
        </row>
        <row r="43">
          <cell r="A43" t="str">
            <v>Kentucky Coffeetree</v>
          </cell>
          <cell r="B43" t="str">
            <v>Gymnocladus dioicus</v>
          </cell>
        </row>
        <row r="44">
          <cell r="A44" t="str">
            <v>Loblolly Pine</v>
          </cell>
          <cell r="B44" t="str">
            <v>Pinus taeda</v>
          </cell>
        </row>
        <row r="45">
          <cell r="A45" t="str">
            <v>Mountain Maple</v>
          </cell>
          <cell r="B45" t="str">
            <v>Acer spicatum</v>
          </cell>
        </row>
        <row r="46">
          <cell r="A46" t="str">
            <v>N. Red Oak</v>
          </cell>
          <cell r="B46" t="str">
            <v>Quercus rubra</v>
          </cell>
        </row>
        <row r="47">
          <cell r="A47" t="str">
            <v>Northern Catalpa</v>
          </cell>
          <cell r="B47" t="str">
            <v>Catalpa speciosa</v>
          </cell>
        </row>
        <row r="48">
          <cell r="A48" t="str">
            <v>Northern Red Oak</v>
          </cell>
          <cell r="B48" t="str">
            <v>Quercus rubra</v>
          </cell>
        </row>
        <row r="49">
          <cell r="A49" t="str">
            <v>Nuttall Oak</v>
          </cell>
          <cell r="B49" t="str">
            <v>Quercus nuttalli</v>
          </cell>
        </row>
        <row r="50">
          <cell r="A50" t="str">
            <v>Overcup Oak</v>
          </cell>
          <cell r="B50" t="str">
            <v>Quercus lyrata</v>
          </cell>
        </row>
        <row r="51">
          <cell r="A51" t="str">
            <v>Pawpaw</v>
          </cell>
          <cell r="B51" t="str">
            <v>Asimina triloba</v>
          </cell>
        </row>
        <row r="52">
          <cell r="A52" t="str">
            <v>Pecan</v>
          </cell>
          <cell r="B52" t="str">
            <v>Carya illinoensis</v>
          </cell>
        </row>
        <row r="53">
          <cell r="A53" t="str">
            <v>Persimmon</v>
          </cell>
          <cell r="B53" t="str">
            <v>Diospyros virginiana</v>
          </cell>
        </row>
        <row r="54">
          <cell r="A54" t="str">
            <v>Persimmon</v>
          </cell>
          <cell r="B54" t="str">
            <v>Diospyros virginiana</v>
          </cell>
        </row>
        <row r="55">
          <cell r="A55" t="str">
            <v>Pin Oak</v>
          </cell>
          <cell r="B55" t="str">
            <v>Quercus palustris</v>
          </cell>
        </row>
        <row r="56">
          <cell r="A56" t="str">
            <v>Pine Barren Goldenrod</v>
          </cell>
          <cell r="B56" t="str">
            <v>Solidago fistulosa</v>
          </cell>
        </row>
        <row r="57">
          <cell r="A57" t="str">
            <v>Poison Ivy</v>
          </cell>
          <cell r="B57" t="str">
            <v>Toxicodendron radicans</v>
          </cell>
        </row>
        <row r="58">
          <cell r="A58" t="str">
            <v>Post Oak</v>
          </cell>
          <cell r="B58" t="str">
            <v>Quercus stellata</v>
          </cell>
        </row>
        <row r="59">
          <cell r="A59" t="str">
            <v>Red Buckeye</v>
          </cell>
          <cell r="B59" t="str">
            <v>Aesculus pavia</v>
          </cell>
        </row>
        <row r="60">
          <cell r="A60" t="str">
            <v>Red Cedar</v>
          </cell>
          <cell r="B60" t="str">
            <v>Juniperus virginiana</v>
          </cell>
        </row>
        <row r="61">
          <cell r="A61" t="str">
            <v>Red Maple</v>
          </cell>
          <cell r="B61" t="str">
            <v>Acer rubrum</v>
          </cell>
        </row>
        <row r="62">
          <cell r="A62" t="str">
            <v>Redbud</v>
          </cell>
          <cell r="B62" t="str">
            <v>Cercis canadensis</v>
          </cell>
        </row>
        <row r="63">
          <cell r="A63" t="str">
            <v>River Birch</v>
          </cell>
          <cell r="B63" t="str">
            <v>Betula nigra</v>
          </cell>
        </row>
        <row r="64">
          <cell r="A64" t="str">
            <v>Sassafras</v>
          </cell>
          <cell r="B64" t="str">
            <v>Sassafras albidum</v>
          </cell>
        </row>
        <row r="65">
          <cell r="A65" t="str">
            <v>Scarlet Oak</v>
          </cell>
          <cell r="B65" t="str">
            <v>Quercus coccinea</v>
          </cell>
        </row>
        <row r="66">
          <cell r="A66" t="str">
            <v>Serviceberry</v>
          </cell>
          <cell r="B66" t="str">
            <v>Amelanchier arborea</v>
          </cell>
        </row>
        <row r="67">
          <cell r="A67" t="str">
            <v>Shining Sumac</v>
          </cell>
          <cell r="B67" t="str">
            <v>Rhus copallina</v>
          </cell>
        </row>
        <row r="68">
          <cell r="A68" t="str">
            <v>Shortleaf Pine</v>
          </cell>
          <cell r="B68" t="str">
            <v>Pinus echinata</v>
          </cell>
        </row>
        <row r="69">
          <cell r="A69" t="str">
            <v>Shumard Oak</v>
          </cell>
          <cell r="B69" t="str">
            <v>Quercus shumardii</v>
          </cell>
        </row>
        <row r="70">
          <cell r="A70" t="str">
            <v>Silver Maple</v>
          </cell>
          <cell r="B70" t="str">
            <v>Acer saccharinum</v>
          </cell>
        </row>
        <row r="71">
          <cell r="A71" t="str">
            <v>Silverbell</v>
          </cell>
          <cell r="B71" t="str">
            <v>Halesia carolina</v>
          </cell>
        </row>
        <row r="72">
          <cell r="A72" t="str">
            <v>Smilax</v>
          </cell>
        </row>
        <row r="73">
          <cell r="A73" t="str">
            <v>Smoketree</v>
          </cell>
          <cell r="B73" t="str">
            <v>Cotinus obovatus</v>
          </cell>
        </row>
        <row r="74">
          <cell r="A74" t="str">
            <v>Smooth Sumac</v>
          </cell>
          <cell r="B74" t="str">
            <v>Rhus glabra</v>
          </cell>
        </row>
        <row r="75">
          <cell r="A75" t="str">
            <v>Snowbell</v>
          </cell>
          <cell r="B75" t="str">
            <v>Styrax spp.</v>
          </cell>
        </row>
        <row r="76">
          <cell r="A76" t="str">
            <v>Sourwood</v>
          </cell>
          <cell r="B76" t="str">
            <v>Oxydendron arboreum</v>
          </cell>
        </row>
        <row r="77">
          <cell r="A77" t="str">
            <v>Southern Red Oak</v>
          </cell>
          <cell r="B77" t="str">
            <v>Quercus falcata</v>
          </cell>
        </row>
        <row r="78">
          <cell r="A78" t="str">
            <v>Staghorn Sumac</v>
          </cell>
          <cell r="B78" t="str">
            <v>Rhus typhina</v>
          </cell>
        </row>
        <row r="79">
          <cell r="A79" t="str">
            <v>Striped Maple</v>
          </cell>
          <cell r="B79" t="str">
            <v>Acer pensylvanicum</v>
          </cell>
        </row>
        <row r="80">
          <cell r="A80" t="str">
            <v>Sugar Maple</v>
          </cell>
          <cell r="B80" t="str">
            <v>Acer saccharum</v>
          </cell>
        </row>
        <row r="81">
          <cell r="A81" t="str">
            <v>Swamp Chestnut Oak</v>
          </cell>
          <cell r="B81" t="str">
            <v>Quercus michauxii</v>
          </cell>
        </row>
        <row r="82">
          <cell r="A82" t="str">
            <v>Sweetbay</v>
          </cell>
          <cell r="B82" t="str">
            <v>Magnolia virginiana</v>
          </cell>
        </row>
        <row r="83">
          <cell r="A83" t="str">
            <v>Sweetgum</v>
          </cell>
          <cell r="B83" t="str">
            <v>Liquidambar styraciflua</v>
          </cell>
        </row>
        <row r="84">
          <cell r="A84" t="str">
            <v>Sweetleaf</v>
          </cell>
          <cell r="B84" t="str">
            <v>Symplocus tinctoria</v>
          </cell>
        </row>
        <row r="85">
          <cell r="A85" t="str">
            <v>Sycamore</v>
          </cell>
          <cell r="B85" t="str">
            <v>Platanus occidentalis</v>
          </cell>
        </row>
        <row r="86">
          <cell r="A86" t="str">
            <v>Tulip Poplar</v>
          </cell>
          <cell r="B86" t="str">
            <v>Liriodendron tulipifera</v>
          </cell>
        </row>
        <row r="87">
          <cell r="A87" t="str">
            <v>Water Oak</v>
          </cell>
          <cell r="B87" t="str">
            <v>Quercus nigra</v>
          </cell>
        </row>
        <row r="88">
          <cell r="A88" t="str">
            <v>White Ash</v>
          </cell>
          <cell r="B88" t="str">
            <v>Fraxinus americana</v>
          </cell>
        </row>
        <row r="89">
          <cell r="A89" t="str">
            <v>White Oak</v>
          </cell>
          <cell r="B89" t="str">
            <v>Quercus alba</v>
          </cell>
        </row>
        <row r="90">
          <cell r="A90" t="str">
            <v>Willow Oak</v>
          </cell>
          <cell r="B90" t="str">
            <v>Quercus phellos</v>
          </cell>
        </row>
        <row r="91">
          <cell r="A91" t="str">
            <v>Winged Sumac</v>
          </cell>
          <cell r="B91" t="str">
            <v>Rhus copallinum</v>
          </cell>
        </row>
        <row r="92">
          <cell r="A92" t="str">
            <v>Witch Hazel</v>
          </cell>
          <cell r="B92" t="str">
            <v>Hamamelis virginiana</v>
          </cell>
        </row>
        <row r="93">
          <cell r="A93" t="str">
            <v>Yellow-Poplar</v>
          </cell>
          <cell r="B93" t="str">
            <v>Liriodendron tulipifera</v>
          </cell>
        </row>
        <row r="94">
          <cell r="A94" t="str">
            <v>Yellowwood</v>
          </cell>
          <cell r="B94" t="str">
            <v>Cladrastis lutea</v>
          </cell>
        </row>
        <row r="95">
          <cell r="A95" t="str">
            <v>Multiflora Rose</v>
          </cell>
          <cell r="B95" t="str">
            <v>Rosa multiflora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e72362" displayName="Table72362" ref="A4:BK61" totalsRowShown="0" headerRowDxfId="257" dataDxfId="256">
  <autoFilter ref="A4:BK61"/>
  <sortState ref="A5:BK61">
    <sortCondition descending="1" ref="B4:B61"/>
  </sortState>
  <tableColumns count="63">
    <tableColumn id="1" name="Species" dataDxfId="255"/>
    <tableColumn id="2" name="Percent" dataDxfId="254">
      <calculatedColumnFormula>H5/$H$62</calculatedColumnFormula>
    </tableColumn>
    <tableColumn id="3" name="&lt; 2" dataDxfId="253"/>
    <tableColumn id="4" name="2 - 4" dataDxfId="252"/>
    <tableColumn id="5" name="4 - 6" dataDxfId="251"/>
    <tableColumn id="6" name="6 - 12" dataDxfId="250"/>
    <tableColumn id="7" name="&gt;12" dataDxfId="249"/>
    <tableColumn id="8" name="Total" dataDxfId="248">
      <calculatedColumnFormula>SUM(Table72362[[#This Row],[&lt; 2]:[&gt;12]])</calculatedColumnFormula>
    </tableColumn>
    <tableColumn id="9" name="Total " dataDxfId="247">
      <calculatedColumnFormula>SUM(Table72362[[#This Row],[VP - 1]:[VP - 54]])</calculatedColumnFormula>
    </tableColumn>
    <tableColumn id="11" name="VP - 1" dataDxfId="246">
      <calculatedColumnFormula>IFERROR(VLOOKUP(Table72362[[#This Row],[Species]],'VP1'!$C:$I,7,FALSE),"")</calculatedColumnFormula>
    </tableColumn>
    <tableColumn id="12" name="VP - 2" dataDxfId="245">
      <calculatedColumnFormula>IFERROR(VLOOKUP(Table72362[[#This Row],[Species]],'VP2'!$C:$I,7,FALSE),"")</calculatedColumnFormula>
    </tableColumn>
    <tableColumn id="13" name="VP - 3" dataDxfId="244"/>
    <tableColumn id="14" name="VP - 4" dataDxfId="243"/>
    <tableColumn id="15" name="VP - 5" dataDxfId="242"/>
    <tableColumn id="16" name="VP - 6" dataDxfId="241"/>
    <tableColumn id="17" name="VP - 7" dataDxfId="240" dataCellStyle="Percent"/>
    <tableColumn id="18" name="VP - 8" dataDxfId="239"/>
    <tableColumn id="19" name="VP - 9" dataDxfId="238"/>
    <tableColumn id="20" name="VP - 10" dataDxfId="237"/>
    <tableColumn id="21" name="VP - 11" dataDxfId="236"/>
    <tableColumn id="22" name="VP - 12" dataDxfId="235"/>
    <tableColumn id="23" name="VP - 13" dataDxfId="234"/>
    <tableColumn id="24" name="VP - 14" dataDxfId="233"/>
    <tableColumn id="25" name="VP - 15" dataDxfId="232"/>
    <tableColumn id="26" name="VP - 16" dataDxfId="231"/>
    <tableColumn id="27" name="VP - 17" dataDxfId="230"/>
    <tableColumn id="28" name="VP - 18" dataDxfId="229"/>
    <tableColumn id="29" name="VP - 19" dataDxfId="228"/>
    <tableColumn id="30" name="VP - 20" dataDxfId="227"/>
    <tableColumn id="31" name="VP - 21" dataDxfId="226"/>
    <tableColumn id="32" name="VP - 22" dataDxfId="225"/>
    <tableColumn id="33" name="VP - 23" dataDxfId="224"/>
    <tableColumn id="34" name="VP - 24" dataDxfId="223"/>
    <tableColumn id="52" name="VP - 25" dataDxfId="222"/>
    <tableColumn id="51" name="VP - 26" dataDxfId="221"/>
    <tableColumn id="50" name="VP - 27" dataDxfId="220"/>
    <tableColumn id="49" name="VP - 28" dataDxfId="219"/>
    <tableColumn id="48" name="VP - 29" dataDxfId="218"/>
    <tableColumn id="47" name="VP - 30" dataDxfId="217"/>
    <tableColumn id="46" name="VP - 31" dataDxfId="216"/>
    <tableColumn id="45" name="VP -32" dataDxfId="215"/>
    <tableColumn id="44" name="VP -33" dataDxfId="214"/>
    <tableColumn id="43" name="VP - 34" dataDxfId="213"/>
    <tableColumn id="42" name="VP - 35" dataDxfId="212"/>
    <tableColumn id="41" name="VP - 36" dataDxfId="211"/>
    <tableColumn id="40" name="VP - 37" dataDxfId="210"/>
    <tableColumn id="39" name="VP - 38" dataDxfId="209"/>
    <tableColumn id="38" name="VP -39" dataDxfId="208"/>
    <tableColumn id="37" name="VP - 40" dataDxfId="207"/>
    <tableColumn id="36" name="VP - 41" dataDxfId="206"/>
    <tableColumn id="35" name="VP - 42" dataDxfId="205"/>
    <tableColumn id="65" name="VP - 43"/>
    <tableColumn id="66" name="VP - 44"/>
    <tableColumn id="67" name="VP - 45"/>
    <tableColumn id="68" name="VP - 46"/>
    <tableColumn id="10" name="VP - 47" dataDxfId="204"/>
    <tableColumn id="53" name="VP - 48" dataDxfId="203"/>
    <tableColumn id="54" name="VP - 49" dataDxfId="202"/>
    <tableColumn id="55" name="VP - 50" dataDxfId="201"/>
    <tableColumn id="56" name="VP - 51" dataDxfId="200"/>
    <tableColumn id="57" name="VP - 52" dataDxfId="199"/>
    <tableColumn id="58" name="VP - 53" dataDxfId="198"/>
    <tableColumn id="59" name="VP - 54" dataDxfId="19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e7354573" displayName="Table7354573" ref="A77:BK84" totalsRowShown="0" headerRowDxfId="196" dataDxfId="195">
  <autoFilter ref="A77:BK84"/>
  <sortState ref="A78:BC84">
    <sortCondition descending="1" ref="B76:B83"/>
  </sortState>
  <tableColumns count="63">
    <tableColumn id="1" name="Specie" dataDxfId="194"/>
    <tableColumn id="2" name="Percent" dataDxfId="193"/>
    <tableColumn id="3" name="&lt; 2" dataDxfId="192"/>
    <tableColumn id="4" name="2 - 4" dataDxfId="191"/>
    <tableColumn id="5" name="4 - 6" dataDxfId="190"/>
    <tableColumn id="6" name="6 - 12" dataDxfId="189"/>
    <tableColumn id="7" name="&gt; 12" dataDxfId="188"/>
    <tableColumn id="8" name="Total" dataDxfId="187">
      <calculatedColumnFormula>SUM(C78:G78)</calculatedColumnFormula>
    </tableColumn>
    <tableColumn id="9" name="Total " dataDxfId="186"/>
    <tableColumn id="11" name="VP - 1" dataDxfId="185"/>
    <tableColumn id="12" name="VP - 2" dataDxfId="184"/>
    <tableColumn id="13" name="VP - 3" dataDxfId="183"/>
    <tableColumn id="14" name="VP - 4" dataDxfId="182"/>
    <tableColumn id="15" name="VP - 5" dataDxfId="181"/>
    <tableColumn id="16" name="VP - 6" dataDxfId="180"/>
    <tableColumn id="17" name="VP - 7" dataDxfId="179"/>
    <tableColumn id="18" name="VP - 8" dataDxfId="178"/>
    <tableColumn id="19" name="VP - 9" dataDxfId="177"/>
    <tableColumn id="20" name="VP - 10" dataDxfId="176"/>
    <tableColumn id="21" name="VP - 11" dataDxfId="175"/>
    <tableColumn id="22" name="VP - 12" dataDxfId="174"/>
    <tableColumn id="23" name="VP - 13" dataDxfId="173"/>
    <tableColumn id="24" name="VP - 14" dataDxfId="172"/>
    <tableColumn id="25" name="VP - 15" dataDxfId="171"/>
    <tableColumn id="26" name="VP - 16" dataDxfId="170"/>
    <tableColumn id="27" name="VP - 17" dataDxfId="169"/>
    <tableColumn id="28" name="VP - 18" dataDxfId="168"/>
    <tableColumn id="29" name="VP - 19" dataDxfId="167"/>
    <tableColumn id="30" name="VP - 20" dataDxfId="166"/>
    <tableColumn id="31" name="VP - 21" dataDxfId="165"/>
    <tableColumn id="32" name="VP - 22" dataDxfId="164"/>
    <tableColumn id="33" name="VP - 23" dataDxfId="163"/>
    <tableColumn id="34" name="VP - 24" dataDxfId="162"/>
    <tableColumn id="10" name="VP - 25" dataDxfId="161"/>
    <tableColumn id="35" name="VP - 26" dataDxfId="160"/>
    <tableColumn id="36" name="VP - 27" dataDxfId="159"/>
    <tableColumn id="37" name="VP - 28" dataDxfId="158"/>
    <tableColumn id="38" name="VP - 29" dataDxfId="157"/>
    <tableColumn id="39" name="VP - 30" dataDxfId="156"/>
    <tableColumn id="40" name="VP - 31" dataDxfId="155"/>
    <tableColumn id="41" name="VP - 32" dataDxfId="154"/>
    <tableColumn id="42" name="VP - 33" dataDxfId="153"/>
    <tableColumn id="43" name="VP - 34" dataDxfId="152"/>
    <tableColumn id="44" name="VP - 35" dataDxfId="151"/>
    <tableColumn id="45" name="VP - 36" dataDxfId="150"/>
    <tableColumn id="46" name="VP - 37" dataDxfId="149"/>
    <tableColumn id="47" name="VP - 38" dataDxfId="148"/>
    <tableColumn id="48" name="VP - 39" dataDxfId="147"/>
    <tableColumn id="49" name="VP - 40" dataDxfId="146"/>
    <tableColumn id="50" name="VP - 41" dataDxfId="145"/>
    <tableColumn id="51" name="VP - 42" dataDxfId="144"/>
    <tableColumn id="52" name="VP - 43" dataDxfId="143"/>
    <tableColumn id="53" name="VP - 44" dataDxfId="142"/>
    <tableColumn id="54" name="VP - 45" dataDxfId="141"/>
    <tableColumn id="55" name="VP - 46" dataDxfId="140"/>
    <tableColumn id="56" name="VP - 47" dataDxfId="139"/>
    <tableColumn id="57" name="VP - 48" dataDxfId="138"/>
    <tableColumn id="58" name="VP - 49" dataDxfId="137"/>
    <tableColumn id="59" name="VP - 50" dataDxfId="136"/>
    <tableColumn id="60" name="VP - 51" dataDxfId="135"/>
    <tableColumn id="61" name="VP - 52" dataDxfId="134"/>
    <tableColumn id="62" name="VP - 53" dataDxfId="133"/>
    <tableColumn id="63" name="VP - 54" dataDxfId="13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able723624" displayName="Table723624" ref="A4:BK61" totalsRowShown="0" headerRowDxfId="131" dataDxfId="130">
  <autoFilter ref="A4:BK61"/>
  <sortState ref="A5:BK61">
    <sortCondition descending="1" ref="B4:B61"/>
  </sortState>
  <tableColumns count="63">
    <tableColumn id="1" name="Species" dataDxfId="129"/>
    <tableColumn id="2" name="Percent" dataDxfId="128">
      <calculatedColumnFormula>H5/$H$62</calculatedColumnFormula>
    </tableColumn>
    <tableColumn id="3" name="&lt; 2" dataDxfId="127"/>
    <tableColumn id="4" name="2 - 4" dataDxfId="126"/>
    <tableColumn id="5" name="4 - 6" dataDxfId="125"/>
    <tableColumn id="6" name="6 - 12" dataDxfId="124"/>
    <tableColumn id="7" name="&gt;12" dataDxfId="123"/>
    <tableColumn id="8" name="Total" dataDxfId="122">
      <calculatedColumnFormula>SUM(Table723624[[#This Row],[&lt; 2]:[&gt;12]])</calculatedColumnFormula>
    </tableColumn>
    <tableColumn id="9" name="Total " dataDxfId="121">
      <calculatedColumnFormula>SUM(Table723624[[#This Row],[VP - 1]:[VP - 54]])</calculatedColumnFormula>
    </tableColumn>
    <tableColumn id="11" name="VP - 1" dataDxfId="120">
      <calculatedColumnFormula>IFERROR(VLOOKUP(Table723624[[#This Row],[Species]],'VP1'!$C:$I,7,FALSE),"")</calculatedColumnFormula>
    </tableColumn>
    <tableColumn id="12" name="VP - 2" dataDxfId="119">
      <calculatedColumnFormula>IFERROR(VLOOKUP(Table723624[[#This Row],[Species]],'VP2'!$C:$I,7,FALSE),"")</calculatedColumnFormula>
    </tableColumn>
    <tableColumn id="13" name="VP - 3" dataDxfId="118"/>
    <tableColumn id="14" name="VP - 4" dataDxfId="117"/>
    <tableColumn id="15" name="VP - 5" dataDxfId="116"/>
    <tableColumn id="16" name="VP - 6" dataDxfId="115"/>
    <tableColumn id="17" name="VP - 7" dataDxfId="114" dataCellStyle="Percent"/>
    <tableColumn id="18" name="VP - 8" dataDxfId="113"/>
    <tableColumn id="19" name="VP - 9" dataDxfId="112"/>
    <tableColumn id="20" name="VP - 10" dataDxfId="111"/>
    <tableColumn id="21" name="VP - 11" dataDxfId="110"/>
    <tableColumn id="22" name="VP - 12" dataDxfId="109"/>
    <tableColumn id="23" name="VP - 13" dataDxfId="108"/>
    <tableColumn id="24" name="VP - 14" dataDxfId="107"/>
    <tableColumn id="25" name="VP - 15" dataDxfId="106"/>
    <tableColumn id="26" name="VP - 16" dataDxfId="105"/>
    <tableColumn id="27" name="VP - 17" dataDxfId="104"/>
    <tableColumn id="28" name="VP - 18" dataDxfId="103"/>
    <tableColumn id="29" name="VP - 19" dataDxfId="102"/>
    <tableColumn id="30" name="VP - 20" dataDxfId="101"/>
    <tableColumn id="31" name="VP - 21" dataDxfId="100"/>
    <tableColumn id="32" name="VP - 22" dataDxfId="99"/>
    <tableColumn id="33" name="VP - 23" dataDxfId="98"/>
    <tableColumn id="34" name="VP - 24" dataDxfId="97"/>
    <tableColumn id="52" name="VP - 25" dataDxfId="96"/>
    <tableColumn id="51" name="VP - 26" dataDxfId="95"/>
    <tableColumn id="50" name="VP - 27" dataDxfId="94"/>
    <tableColumn id="49" name="VP - 28" dataDxfId="93"/>
    <tableColumn id="48" name="VP - 29" dataDxfId="92"/>
    <tableColumn id="47" name="VP - 30" dataDxfId="91"/>
    <tableColumn id="46" name="VP - 31" dataDxfId="90"/>
    <tableColumn id="45" name="VP -32" dataDxfId="89"/>
    <tableColumn id="44" name="VP -33" dataDxfId="88"/>
    <tableColumn id="43" name="VP - 34" dataDxfId="87"/>
    <tableColumn id="42" name="VP - 35" dataDxfId="86"/>
    <tableColumn id="41" name="VP - 36" dataDxfId="85"/>
    <tableColumn id="40" name="VP - 37" dataDxfId="84"/>
    <tableColumn id="39" name="VP - 38" dataDxfId="83"/>
    <tableColumn id="38" name="VP -39" dataDxfId="82"/>
    <tableColumn id="37" name="VP - 40" dataDxfId="81"/>
    <tableColumn id="36" name="VP - 41" dataDxfId="80"/>
    <tableColumn id="35" name="VP - 42" dataDxfId="79"/>
    <tableColumn id="65" name="VP - 43"/>
    <tableColumn id="66" name="VP - 44"/>
    <tableColumn id="67" name="VP - 45"/>
    <tableColumn id="68" name="VP - 46"/>
    <tableColumn id="10" name="VP - 47" dataDxfId="78"/>
    <tableColumn id="53" name="VP - 48" dataDxfId="77"/>
    <tableColumn id="54" name="VP - 49" dataDxfId="76"/>
    <tableColumn id="55" name="VP - 50" dataDxfId="75"/>
    <tableColumn id="56" name="VP - 51" dataDxfId="74"/>
    <tableColumn id="57" name="VP - 52" dataDxfId="73"/>
    <tableColumn id="58" name="VP - 53" dataDxfId="72"/>
    <tableColumn id="59" name="VP - 54" dataDxfId="7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4" name="Table73545735" displayName="Table73545735" ref="A77:BK84" totalsRowShown="0" headerRowDxfId="70" dataDxfId="69">
  <autoFilter ref="A77:BK84"/>
  <sortState ref="A78:BC84">
    <sortCondition descending="1" ref="B76:B83"/>
  </sortState>
  <tableColumns count="63">
    <tableColumn id="1" name="Specie" dataDxfId="68"/>
    <tableColumn id="2" name="Percent" dataDxfId="67"/>
    <tableColumn id="3" name="&lt; 2" dataDxfId="66"/>
    <tableColumn id="4" name="2 - 4" dataDxfId="65"/>
    <tableColumn id="5" name="4 - 6" dataDxfId="64"/>
    <tableColumn id="6" name="6 - 12" dataDxfId="63"/>
    <tableColumn id="7" name="&gt; 12" dataDxfId="62"/>
    <tableColumn id="8" name="Total" dataDxfId="61">
      <calculatedColumnFormula>SUM(C78:G78)</calculatedColumnFormula>
    </tableColumn>
    <tableColumn id="9" name="Total " dataDxfId="60"/>
    <tableColumn id="11" name="VP - 1" dataDxfId="59"/>
    <tableColumn id="12" name="VP - 2" dataDxfId="58"/>
    <tableColumn id="13" name="VP - 3" dataDxfId="57"/>
    <tableColumn id="14" name="VP - 4" dataDxfId="56"/>
    <tableColumn id="15" name="VP - 5" dataDxfId="55"/>
    <tableColumn id="16" name="VP - 6" dataDxfId="54"/>
    <tableColumn id="17" name="VP - 7" dataDxfId="53"/>
    <tableColumn id="18" name="VP - 8" dataDxfId="52"/>
    <tableColumn id="19" name="VP - 9" dataDxfId="51"/>
    <tableColumn id="20" name="VP - 10" dataDxfId="50"/>
    <tableColumn id="21" name="VP - 11" dataDxfId="49"/>
    <tableColumn id="22" name="VP - 12" dataDxfId="48"/>
    <tableColumn id="23" name="VP - 13" dataDxfId="47"/>
    <tableColumn id="24" name="VP - 14" dataDxfId="46"/>
    <tableColumn id="25" name="VP - 15" dataDxfId="45"/>
    <tableColumn id="26" name="VP - 16" dataDxfId="44"/>
    <tableColumn id="27" name="VP - 17" dataDxfId="43"/>
    <tableColumn id="28" name="VP - 18" dataDxfId="42"/>
    <tableColumn id="29" name="VP - 19" dataDxfId="41"/>
    <tableColumn id="30" name="VP - 20" dataDxfId="40"/>
    <tableColumn id="31" name="VP - 21" dataDxfId="39"/>
    <tableColumn id="32" name="VP - 22" dataDxfId="38"/>
    <tableColumn id="33" name="VP - 23" dataDxfId="37"/>
    <tableColumn id="34" name="VP - 24" dataDxfId="36"/>
    <tableColumn id="10" name="VP - 25" dataDxfId="35"/>
    <tableColumn id="35" name="VP - 26" dataDxfId="34"/>
    <tableColumn id="36" name="VP - 27" dataDxfId="33"/>
    <tableColumn id="37" name="VP - 28" dataDxfId="32"/>
    <tableColumn id="38" name="VP - 29" dataDxfId="31"/>
    <tableColumn id="39" name="VP - 30" dataDxfId="30"/>
    <tableColumn id="40" name="VP - 31" dataDxfId="29"/>
    <tableColumn id="41" name="VP - 32" dataDxfId="28"/>
    <tableColumn id="42" name="VP - 33" dataDxfId="27"/>
    <tableColumn id="43" name="VP - 34" dataDxfId="26"/>
    <tableColumn id="44" name="VP - 35" dataDxfId="25"/>
    <tableColumn id="45" name="VP - 36" dataDxfId="24"/>
    <tableColumn id="46" name="VP - 37" dataDxfId="23"/>
    <tableColumn id="47" name="VP - 38" dataDxfId="22"/>
    <tableColumn id="48" name="VP - 39" dataDxfId="21"/>
    <tableColumn id="49" name="VP - 40" dataDxfId="20"/>
    <tableColumn id="50" name="VP - 41" dataDxfId="19"/>
    <tableColumn id="51" name="VP - 42" dataDxfId="18"/>
    <tableColumn id="52" name="VP - 43" dataDxfId="17"/>
    <tableColumn id="53" name="VP - 44" dataDxfId="16"/>
    <tableColumn id="54" name="VP - 45" dataDxfId="15"/>
    <tableColumn id="55" name="VP - 46" dataDxfId="14"/>
    <tableColumn id="56" name="VP - 47" dataDxfId="13"/>
    <tableColumn id="57" name="VP - 48" dataDxfId="12"/>
    <tableColumn id="58" name="VP - 49" dataDxfId="11"/>
    <tableColumn id="59" name="VP - 50" dataDxfId="10"/>
    <tableColumn id="60" name="VP - 51" dataDxfId="9"/>
    <tableColumn id="61" name="VP - 52" dataDxfId="8"/>
    <tableColumn id="62" name="VP - 53" dataDxfId="7"/>
    <tableColumn id="63" name="VP - 54" dataDxfId="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Y99"/>
  <sheetViews>
    <sheetView tabSelected="1" topLeftCell="A43" zoomScale="90" zoomScaleNormal="90" workbookViewId="0">
      <pane xSplit="1" topLeftCell="B1" activePane="topRight" state="frozen"/>
      <selection pane="topRight" activeCell="K46" sqref="K46"/>
    </sheetView>
  </sheetViews>
  <sheetFormatPr defaultRowHeight="14.5" x14ac:dyDescent="0.35"/>
  <cols>
    <col min="1" max="1" width="32" customWidth="1"/>
    <col min="2" max="2" width="14.1796875" customWidth="1"/>
    <col min="3" max="7" width="10.26953125" customWidth="1"/>
    <col min="8" max="8" width="12.453125" customWidth="1"/>
    <col min="9" max="9" width="10.26953125" customWidth="1"/>
    <col min="10" max="10" width="11.26953125" customWidth="1"/>
    <col min="11" max="50" width="12" style="6" customWidth="1"/>
    <col min="51" max="51" width="11.54296875" style="6" bestFit="1" customWidth="1"/>
    <col min="52" max="62" width="11.54296875" bestFit="1" customWidth="1"/>
    <col min="63" max="63" width="13.26953125" customWidth="1"/>
  </cols>
  <sheetData>
    <row r="1" spans="1:103" x14ac:dyDescent="0.35">
      <c r="A1" s="183" t="s">
        <v>175</v>
      </c>
    </row>
    <row r="2" spans="1:103" ht="15" thickBot="1" x14ac:dyDescent="0.4">
      <c r="A2" s="183" t="s">
        <v>176</v>
      </c>
      <c r="B2" s="183">
        <v>54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103" ht="15" thickBot="1" x14ac:dyDescent="0.4">
      <c r="A3" s="11"/>
      <c r="B3" s="12"/>
      <c r="C3" s="184" t="s">
        <v>23</v>
      </c>
      <c r="D3" s="185"/>
      <c r="E3" s="185"/>
      <c r="F3" s="185"/>
      <c r="G3" s="186"/>
      <c r="H3" s="21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42"/>
      <c r="BD3" s="22"/>
      <c r="BE3" s="22"/>
      <c r="BF3" s="22"/>
      <c r="BG3" s="22"/>
      <c r="BH3" s="22"/>
      <c r="BI3" s="22"/>
      <c r="BJ3" s="22"/>
      <c r="BK3" s="2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2"/>
      <c r="CG3" s="72"/>
      <c r="CH3" s="72"/>
      <c r="CI3" s="72"/>
      <c r="CJ3" s="72"/>
      <c r="CK3" s="72"/>
      <c r="CL3" s="72"/>
      <c r="CM3" s="72"/>
      <c r="CN3" s="72"/>
      <c r="CO3" s="72"/>
      <c r="CP3" s="72"/>
      <c r="CQ3" s="72"/>
      <c r="CR3" s="72"/>
      <c r="CS3" s="72"/>
      <c r="CT3" s="72"/>
      <c r="CU3" s="72"/>
      <c r="CV3" s="72"/>
      <c r="CW3" s="72"/>
      <c r="CX3" s="72"/>
      <c r="CY3" s="72"/>
    </row>
    <row r="4" spans="1:103" ht="15" thickBot="1" x14ac:dyDescent="0.4">
      <c r="A4" s="13" t="s">
        <v>18</v>
      </c>
      <c r="B4" s="13" t="s">
        <v>24</v>
      </c>
      <c r="C4" s="14" t="s">
        <v>9</v>
      </c>
      <c r="D4" s="15" t="s">
        <v>20</v>
      </c>
      <c r="E4" s="15" t="s">
        <v>21</v>
      </c>
      <c r="F4" s="15" t="s">
        <v>22</v>
      </c>
      <c r="G4" s="15" t="s">
        <v>114</v>
      </c>
      <c r="H4" s="20" t="s">
        <v>19</v>
      </c>
      <c r="I4" s="23" t="s">
        <v>25</v>
      </c>
      <c r="J4" s="24" t="s">
        <v>26</v>
      </c>
      <c r="K4" s="24" t="s">
        <v>27</v>
      </c>
      <c r="L4" s="24" t="s">
        <v>28</v>
      </c>
      <c r="M4" s="24" t="s">
        <v>29</v>
      </c>
      <c r="N4" s="24" t="s">
        <v>30</v>
      </c>
      <c r="O4" s="24" t="s">
        <v>31</v>
      </c>
      <c r="P4" s="24" t="s">
        <v>32</v>
      </c>
      <c r="Q4" s="24" t="s">
        <v>33</v>
      </c>
      <c r="R4" s="24" t="s">
        <v>34</v>
      </c>
      <c r="S4" s="24" t="s">
        <v>35</v>
      </c>
      <c r="T4" s="24" t="s">
        <v>36</v>
      </c>
      <c r="U4" s="24" t="s">
        <v>37</v>
      </c>
      <c r="V4" s="24" t="s">
        <v>38</v>
      </c>
      <c r="W4" s="24" t="s">
        <v>39</v>
      </c>
      <c r="X4" s="24" t="s">
        <v>40</v>
      </c>
      <c r="Y4" s="24" t="s">
        <v>41</v>
      </c>
      <c r="Z4" s="24" t="s">
        <v>42</v>
      </c>
      <c r="AA4" s="24" t="s">
        <v>43</v>
      </c>
      <c r="AB4" s="24" t="s">
        <v>44</v>
      </c>
      <c r="AC4" s="24" t="s">
        <v>45</v>
      </c>
      <c r="AD4" s="24" t="s">
        <v>46</v>
      </c>
      <c r="AE4" s="24" t="s">
        <v>47</v>
      </c>
      <c r="AF4" s="24" t="s">
        <v>48</v>
      </c>
      <c r="AG4" s="24" t="s">
        <v>49</v>
      </c>
      <c r="AH4" s="24" t="s">
        <v>57</v>
      </c>
      <c r="AI4" s="24" t="s">
        <v>58</v>
      </c>
      <c r="AJ4" s="24" t="s">
        <v>59</v>
      </c>
      <c r="AK4" s="24" t="s">
        <v>60</v>
      </c>
      <c r="AL4" s="24" t="s">
        <v>61</v>
      </c>
      <c r="AM4" s="24" t="s">
        <v>62</v>
      </c>
      <c r="AN4" s="24" t="s">
        <v>63</v>
      </c>
      <c r="AO4" s="24" t="s">
        <v>64</v>
      </c>
      <c r="AP4" s="24" t="s">
        <v>65</v>
      </c>
      <c r="AQ4" s="24" t="s">
        <v>66</v>
      </c>
      <c r="AR4" s="24" t="s">
        <v>67</v>
      </c>
      <c r="AS4" s="24" t="s">
        <v>68</v>
      </c>
      <c r="AT4" s="24" t="s">
        <v>69</v>
      </c>
      <c r="AU4" s="24" t="s">
        <v>70</v>
      </c>
      <c r="AV4" s="24" t="s">
        <v>71</v>
      </c>
      <c r="AW4" s="24" t="s">
        <v>72</v>
      </c>
      <c r="AX4" s="24" t="s">
        <v>73</v>
      </c>
      <c r="AY4" s="25" t="s">
        <v>74</v>
      </c>
      <c r="AZ4" s="25" t="s">
        <v>86</v>
      </c>
      <c r="BA4" s="25" t="s">
        <v>87</v>
      </c>
      <c r="BB4" s="25" t="s">
        <v>88</v>
      </c>
      <c r="BC4" s="43" t="s">
        <v>89</v>
      </c>
      <c r="BD4" s="24" t="s">
        <v>137</v>
      </c>
      <c r="BE4" s="24" t="s">
        <v>138</v>
      </c>
      <c r="BF4" s="24" t="s">
        <v>139</v>
      </c>
      <c r="BG4" s="24" t="s">
        <v>140</v>
      </c>
      <c r="BH4" s="24" t="s">
        <v>141</v>
      </c>
      <c r="BI4" s="24" t="s">
        <v>142</v>
      </c>
      <c r="BJ4" s="24" t="s">
        <v>143</v>
      </c>
      <c r="BK4" s="24" t="s">
        <v>144</v>
      </c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</row>
    <row r="5" spans="1:103" s="6" customFormat="1" ht="15" thickBot="1" x14ac:dyDescent="0.4">
      <c r="A5" s="76" t="s">
        <v>1</v>
      </c>
      <c r="B5" s="28" t="e">
        <f t="shared" ref="B5:B36" si="0">H5/$H$62</f>
        <v>#DIV/0!</v>
      </c>
      <c r="C5" s="61"/>
      <c r="D5" s="50"/>
      <c r="E5" s="50"/>
      <c r="F5" s="50"/>
      <c r="G5" s="50"/>
      <c r="H5" s="9">
        <f>SUM(Table72362[[#This Row],[&lt; 2]:[&gt;12]])</f>
        <v>0</v>
      </c>
      <c r="I5" s="29">
        <f>SUM(Table72362[[#This Row],[VP - 1]:[VP - 54]])</f>
        <v>0</v>
      </c>
      <c r="J5" s="61" t="str">
        <f>IFERROR(VLOOKUP(Table72362[[#This Row],[Species]],'VP1'!$C:$I,7,FALSE),"")</f>
        <v/>
      </c>
      <c r="K5" s="61" t="str">
        <f>IFERROR(VLOOKUP(Table72362[[#This Row],[Species]],'VP2'!$C:$I,7,FALSE),"")</f>
        <v/>
      </c>
      <c r="L5" s="61"/>
      <c r="M5" s="61"/>
      <c r="N5" s="61"/>
      <c r="O5" s="61"/>
      <c r="P5" s="86"/>
      <c r="Q5" s="87"/>
      <c r="R5" s="87"/>
      <c r="S5" s="87"/>
      <c r="T5" s="87"/>
      <c r="U5" s="87"/>
      <c r="V5" s="87"/>
      <c r="W5" s="87"/>
      <c r="X5" s="121"/>
      <c r="Y5" s="121"/>
      <c r="Z5" s="121"/>
      <c r="AA5" s="87"/>
      <c r="AB5" s="87"/>
      <c r="AC5" s="87"/>
      <c r="AD5" s="87"/>
      <c r="AE5" s="62"/>
      <c r="AF5" s="62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72"/>
      <c r="BM5" s="72"/>
      <c r="BN5" s="72"/>
      <c r="BO5" s="72"/>
      <c r="BP5" s="72"/>
      <c r="BQ5" s="72"/>
      <c r="BR5" s="72"/>
      <c r="BS5" s="72"/>
      <c r="BT5" s="72"/>
      <c r="BU5" s="72"/>
      <c r="BV5" s="72"/>
      <c r="BW5" s="72"/>
      <c r="BX5" s="72"/>
      <c r="BY5" s="72"/>
      <c r="BZ5" s="72"/>
      <c r="CA5" s="72"/>
      <c r="CB5" s="72"/>
      <c r="CC5" s="72"/>
      <c r="CD5" s="72"/>
      <c r="CE5" s="72"/>
      <c r="CF5" s="72"/>
      <c r="CG5" s="72"/>
      <c r="CH5" s="72"/>
      <c r="CI5" s="72"/>
      <c r="CJ5" s="72"/>
      <c r="CK5" s="72"/>
      <c r="CL5" s="72"/>
      <c r="CM5" s="72"/>
      <c r="CN5" s="72"/>
      <c r="CO5" s="72"/>
      <c r="CP5" s="72"/>
      <c r="CQ5" s="72"/>
      <c r="CR5" s="72"/>
      <c r="CS5" s="72"/>
      <c r="CT5" s="72"/>
      <c r="CU5" s="72"/>
      <c r="CV5" s="72"/>
      <c r="CW5" s="72"/>
      <c r="CX5" s="72"/>
      <c r="CY5" s="72"/>
    </row>
    <row r="6" spans="1:103" s="6" customFormat="1" ht="15" thickBot="1" x14ac:dyDescent="0.4">
      <c r="A6" s="73" t="s">
        <v>0</v>
      </c>
      <c r="B6" s="48" t="e">
        <f t="shared" si="0"/>
        <v>#DIV/0!</v>
      </c>
      <c r="C6" s="77"/>
      <c r="D6" s="36"/>
      <c r="E6" s="36"/>
      <c r="F6" s="36"/>
      <c r="G6" s="36"/>
      <c r="H6" s="37">
        <f>SUM(Table72362[[#This Row],[&lt; 2]:[&gt;12]])</f>
        <v>0</v>
      </c>
      <c r="I6" s="38">
        <f>SUM(Table72362[[#This Row],[VP - 1]:[VP - 54]])</f>
        <v>0</v>
      </c>
      <c r="J6" s="74" t="str">
        <f>IFERROR(VLOOKUP(Table72362[[#This Row],[Species]],'VP1'!$C:$I,7,FALSE),"")</f>
        <v/>
      </c>
      <c r="K6" s="74" t="str">
        <f>IFERROR(VLOOKUP(Table72362[[#This Row],[Species]],'VP2'!$C:$I,7,FALSE),"")</f>
        <v/>
      </c>
      <c r="L6" s="74"/>
      <c r="M6" s="74"/>
      <c r="N6" s="74"/>
      <c r="O6" s="74"/>
      <c r="P6" s="88"/>
      <c r="Q6" s="66"/>
      <c r="R6" s="66"/>
      <c r="S6" s="66"/>
      <c r="T6" s="66"/>
      <c r="U6" s="66"/>
      <c r="V6" s="66"/>
      <c r="W6" s="66"/>
      <c r="X6" s="122"/>
      <c r="Y6" s="122"/>
      <c r="Z6" s="122"/>
      <c r="AA6" s="66"/>
      <c r="AB6" s="66"/>
      <c r="AC6" s="66"/>
      <c r="AD6" s="66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</row>
    <row r="7" spans="1:103" s="40" customFormat="1" ht="15" thickBot="1" x14ac:dyDescent="0.4">
      <c r="A7" s="73" t="s">
        <v>2</v>
      </c>
      <c r="B7" s="48" t="e">
        <f t="shared" si="0"/>
        <v>#DIV/0!</v>
      </c>
      <c r="C7" s="74"/>
      <c r="D7" s="36"/>
      <c r="E7" s="36"/>
      <c r="F7" s="36"/>
      <c r="G7" s="36"/>
      <c r="H7" s="37">
        <f>SUM(Table72362[[#This Row],[&lt; 2]:[&gt;12]])</f>
        <v>0</v>
      </c>
      <c r="I7" s="38">
        <f>SUM(Table72362[[#This Row],[VP - 1]:[VP - 54]])</f>
        <v>0</v>
      </c>
      <c r="J7" s="74" t="str">
        <f>IFERROR(VLOOKUP(Table72362[[#This Row],[Species]],'VP1'!$C:$I,7,FALSE),"")</f>
        <v/>
      </c>
      <c r="K7" s="74" t="str">
        <f>IFERROR(VLOOKUP(Table72362[[#This Row],[Species]],'VP2'!$C:$I,7,FALSE),"")</f>
        <v/>
      </c>
      <c r="L7" s="74"/>
      <c r="M7" s="74"/>
      <c r="N7" s="74"/>
      <c r="O7" s="74"/>
      <c r="P7" s="88"/>
      <c r="Q7" s="66"/>
      <c r="R7" s="66"/>
      <c r="S7" s="66"/>
      <c r="T7" s="66"/>
      <c r="U7" s="66"/>
      <c r="V7" s="66"/>
      <c r="W7" s="66"/>
      <c r="X7" s="122"/>
      <c r="Y7" s="122"/>
      <c r="Z7" s="122"/>
      <c r="AA7" s="66"/>
      <c r="AB7" s="66"/>
      <c r="AC7" s="66"/>
      <c r="AD7" s="66"/>
      <c r="AE7" s="89"/>
      <c r="AF7" s="89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72"/>
      <c r="BM7" s="72"/>
      <c r="BN7" s="72"/>
      <c r="BO7" s="72"/>
      <c r="BP7" s="72"/>
      <c r="BQ7" s="72"/>
      <c r="BR7" s="72"/>
      <c r="BS7" s="72"/>
      <c r="BT7" s="72"/>
      <c r="BU7" s="72"/>
      <c r="BV7" s="72"/>
      <c r="BW7" s="72"/>
      <c r="BX7" s="72"/>
      <c r="BY7" s="72"/>
      <c r="BZ7" s="72"/>
      <c r="CA7" s="72"/>
      <c r="CB7" s="72"/>
      <c r="CC7" s="72"/>
      <c r="CD7" s="72"/>
      <c r="CE7" s="72"/>
      <c r="CF7" s="72"/>
      <c r="CG7" s="72"/>
      <c r="CH7" s="72"/>
      <c r="CI7" s="72"/>
      <c r="CJ7" s="72"/>
      <c r="CK7" s="72"/>
      <c r="CL7" s="72"/>
      <c r="CM7" s="72"/>
      <c r="CN7" s="72"/>
      <c r="CO7" s="72"/>
      <c r="CP7" s="72"/>
      <c r="CQ7" s="72"/>
      <c r="CR7" s="72"/>
      <c r="CS7" s="72"/>
      <c r="CT7" s="72"/>
      <c r="CU7" s="72"/>
      <c r="CV7" s="72"/>
      <c r="CW7" s="72"/>
      <c r="CX7" s="72"/>
      <c r="CY7" s="72"/>
    </row>
    <row r="8" spans="1:103" s="6" customFormat="1" ht="15" thickBot="1" x14ac:dyDescent="0.4">
      <c r="A8" s="73" t="s">
        <v>135</v>
      </c>
      <c r="B8" s="48" t="e">
        <f t="shared" si="0"/>
        <v>#DIV/0!</v>
      </c>
      <c r="C8" s="77"/>
      <c r="D8" s="36"/>
      <c r="E8" s="36"/>
      <c r="F8" s="36"/>
      <c r="G8" s="36"/>
      <c r="H8" s="37">
        <f>SUM(Table72362[[#This Row],[&lt; 2]:[&gt;12]])</f>
        <v>0</v>
      </c>
      <c r="I8" s="38">
        <f>SUM(Table72362[[#This Row],[VP - 1]:[VP - 54]])</f>
        <v>0</v>
      </c>
      <c r="J8" s="74" t="str">
        <f>IFERROR(VLOOKUP(Table72362[[#This Row],[Species]],'VP1'!$C:$I,7,FALSE),"")</f>
        <v/>
      </c>
      <c r="K8" s="74" t="str">
        <f>IFERROR(VLOOKUP(Table72362[[#This Row],[Species]],'VP2'!$C:$I,7,FALSE),"")</f>
        <v/>
      </c>
      <c r="L8" s="74"/>
      <c r="M8" s="74"/>
      <c r="N8" s="74"/>
      <c r="O8" s="74"/>
      <c r="P8" s="88"/>
      <c r="Q8" s="66"/>
      <c r="R8" s="66"/>
      <c r="S8" s="66"/>
      <c r="T8" s="66"/>
      <c r="U8" s="66"/>
      <c r="V8" s="66"/>
      <c r="W8" s="66"/>
      <c r="X8" s="122"/>
      <c r="Y8" s="122"/>
      <c r="Z8" s="122"/>
      <c r="AA8" s="66"/>
      <c r="AB8" s="66"/>
      <c r="AC8" s="66"/>
      <c r="AD8" s="66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72"/>
      <c r="BM8" s="72"/>
      <c r="BN8" s="72"/>
      <c r="BO8" s="72"/>
      <c r="BP8" s="72"/>
      <c r="BQ8" s="72"/>
      <c r="BR8" s="72"/>
      <c r="BS8" s="72"/>
      <c r="BT8" s="72"/>
      <c r="BU8" s="72"/>
      <c r="BV8" s="72"/>
      <c r="BW8" s="72"/>
      <c r="BX8" s="72"/>
      <c r="BY8" s="72"/>
      <c r="BZ8" s="72"/>
      <c r="CA8" s="72"/>
      <c r="CB8" s="72"/>
      <c r="CC8" s="72"/>
      <c r="CD8" s="72"/>
      <c r="CE8" s="72"/>
      <c r="CF8" s="72"/>
      <c r="CG8" s="72"/>
      <c r="CH8" s="72"/>
      <c r="CI8" s="72"/>
      <c r="CJ8" s="72"/>
      <c r="CK8" s="72"/>
      <c r="CL8" s="72"/>
      <c r="CM8" s="72"/>
      <c r="CN8" s="72"/>
      <c r="CO8" s="72"/>
      <c r="CP8" s="72"/>
      <c r="CQ8" s="72"/>
      <c r="CR8" s="72"/>
      <c r="CS8" s="72"/>
      <c r="CT8" s="72"/>
      <c r="CU8" s="72"/>
      <c r="CV8" s="72"/>
      <c r="CW8" s="72"/>
      <c r="CX8" s="72"/>
      <c r="CY8" s="72"/>
    </row>
    <row r="9" spans="1:103" s="6" customFormat="1" ht="15" thickBot="1" x14ac:dyDescent="0.4">
      <c r="A9" s="76" t="s">
        <v>117</v>
      </c>
      <c r="B9" s="28" t="e">
        <f t="shared" si="0"/>
        <v>#DIV/0!</v>
      </c>
      <c r="C9" s="78"/>
      <c r="D9" s="50"/>
      <c r="E9" s="50"/>
      <c r="F9" s="50"/>
      <c r="G9" s="50"/>
      <c r="H9" s="112">
        <f>SUM(Table72362[[#This Row],[&lt; 2]:[&gt;12]])</f>
        <v>0</v>
      </c>
      <c r="I9" s="29">
        <f>SUM(Table72362[[#This Row],[VP - 1]:[VP - 54]])</f>
        <v>0</v>
      </c>
      <c r="J9" s="61" t="str">
        <f>IFERROR(VLOOKUP(Table72362[[#This Row],[Species]],'VP1'!$C:$I,7,FALSE),"")</f>
        <v/>
      </c>
      <c r="K9" s="61" t="str">
        <f>IFERROR(VLOOKUP(Table72362[[#This Row],[Species]],'VP2'!$C:$I,7,FALSE),"")</f>
        <v/>
      </c>
      <c r="L9" s="61"/>
      <c r="M9" s="61"/>
      <c r="N9" s="61"/>
      <c r="O9" s="61"/>
      <c r="P9" s="86"/>
      <c r="Q9" s="87"/>
      <c r="R9" s="87"/>
      <c r="S9" s="87"/>
      <c r="T9" s="87"/>
      <c r="U9" s="87"/>
      <c r="V9" s="87"/>
      <c r="W9" s="87"/>
      <c r="X9" s="121"/>
      <c r="Y9" s="121"/>
      <c r="Z9" s="121"/>
      <c r="AA9" s="87"/>
      <c r="AB9" s="87"/>
      <c r="AC9" s="87"/>
      <c r="AD9" s="87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72"/>
      <c r="BM9" s="72"/>
      <c r="BN9" s="72"/>
      <c r="BO9" s="72"/>
      <c r="BP9" s="72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2"/>
      <c r="CB9" s="72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2"/>
      <c r="CU9" s="72"/>
      <c r="CV9" s="72"/>
      <c r="CW9" s="72"/>
      <c r="CX9" s="72"/>
      <c r="CY9" s="72"/>
    </row>
    <row r="10" spans="1:103" s="6" customFormat="1" ht="15" thickBot="1" x14ac:dyDescent="0.4">
      <c r="A10" s="73" t="s">
        <v>80</v>
      </c>
      <c r="B10" s="48" t="e">
        <f t="shared" si="0"/>
        <v>#DIV/0!</v>
      </c>
      <c r="C10" s="74"/>
      <c r="D10" s="135"/>
      <c r="E10" s="135"/>
      <c r="F10" s="135"/>
      <c r="G10" s="135"/>
      <c r="H10" s="37">
        <f>SUM(Table72362[[#This Row],[&lt; 2]:[&gt;12]])</f>
        <v>0</v>
      </c>
      <c r="I10" s="38">
        <f>SUM(Table72362[[#This Row],[VP - 1]:[VP - 54]])</f>
        <v>0</v>
      </c>
      <c r="J10" s="74" t="str">
        <f>IFERROR(VLOOKUP(Table72362[[#This Row],[Species]],'VP1'!$C:$I,7,FALSE),"")</f>
        <v/>
      </c>
      <c r="K10" s="74" t="str">
        <f>IFERROR(VLOOKUP(Table72362[[#This Row],[Species]],'VP2'!$C:$I,7,FALSE),"")</f>
        <v/>
      </c>
      <c r="L10" s="74"/>
      <c r="M10" s="74"/>
      <c r="N10" s="74"/>
      <c r="O10" s="74"/>
      <c r="P10" s="88"/>
      <c r="Q10" s="66"/>
      <c r="R10" s="66"/>
      <c r="S10" s="66"/>
      <c r="T10" s="66"/>
      <c r="U10" s="66"/>
      <c r="V10" s="66"/>
      <c r="W10" s="66"/>
      <c r="X10" s="122"/>
      <c r="Y10" s="122"/>
      <c r="Z10" s="122"/>
      <c r="AA10" s="66"/>
      <c r="AB10" s="66"/>
      <c r="AC10" s="66"/>
      <c r="AD10" s="66"/>
      <c r="AE10" s="66"/>
      <c r="AF10" s="89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72"/>
      <c r="BM10" s="72"/>
      <c r="BN10" s="72"/>
      <c r="BO10" s="72"/>
      <c r="BP10" s="72"/>
      <c r="BQ10" s="72"/>
      <c r="BR10" s="72"/>
      <c r="BS10" s="72"/>
      <c r="BT10" s="72"/>
      <c r="BU10" s="72"/>
      <c r="BV10" s="72"/>
      <c r="BW10" s="72"/>
      <c r="BX10" s="72"/>
      <c r="BY10" s="72"/>
      <c r="BZ10" s="72"/>
      <c r="CA10" s="72"/>
      <c r="CB10" s="72"/>
      <c r="CC10" s="72"/>
      <c r="CD10" s="72"/>
      <c r="CE10" s="72"/>
      <c r="CF10" s="72"/>
      <c r="CG10" s="72"/>
      <c r="CH10" s="72"/>
      <c r="CI10" s="72"/>
      <c r="CJ10" s="72"/>
      <c r="CK10" s="72"/>
      <c r="CL10" s="72"/>
      <c r="CM10" s="72"/>
      <c r="CN10" s="72"/>
      <c r="CO10" s="72"/>
      <c r="CP10" s="72"/>
      <c r="CQ10" s="72"/>
      <c r="CR10" s="72"/>
      <c r="CS10" s="72"/>
      <c r="CT10" s="72"/>
      <c r="CU10" s="72"/>
      <c r="CV10" s="72"/>
      <c r="CW10" s="72"/>
      <c r="CX10" s="72"/>
      <c r="CY10" s="72"/>
    </row>
    <row r="11" spans="1:103" s="40" customFormat="1" ht="15" thickBot="1" x14ac:dyDescent="0.4">
      <c r="A11" s="73" t="s">
        <v>81</v>
      </c>
      <c r="B11" s="48" t="e">
        <f t="shared" si="0"/>
        <v>#DIV/0!</v>
      </c>
      <c r="C11" s="74"/>
      <c r="D11" s="36"/>
      <c r="E11" s="36"/>
      <c r="F11" s="36"/>
      <c r="G11" s="36"/>
      <c r="H11" s="37">
        <f>SUM(Table72362[[#This Row],[&lt; 2]:[&gt;12]])</f>
        <v>0</v>
      </c>
      <c r="I11" s="38">
        <f>SUM(Table72362[[#This Row],[VP - 1]:[VP - 54]])</f>
        <v>0</v>
      </c>
      <c r="J11" s="74" t="str">
        <f>IFERROR(VLOOKUP(Table72362[[#This Row],[Species]],'VP1'!$C:$I,7,FALSE),"")</f>
        <v/>
      </c>
      <c r="K11" s="74" t="str">
        <f>IFERROR(VLOOKUP(Table72362[[#This Row],[Species]],'VP2'!$C:$I,7,FALSE),"")</f>
        <v/>
      </c>
      <c r="L11" s="74"/>
      <c r="M11" s="74"/>
      <c r="N11" s="74"/>
      <c r="O11" s="74"/>
      <c r="P11" s="88"/>
      <c r="Q11" s="66"/>
      <c r="R11" s="66"/>
      <c r="S11" s="66"/>
      <c r="T11" s="66"/>
      <c r="U11" s="66"/>
      <c r="V11" s="66"/>
      <c r="W11" s="66"/>
      <c r="X11" s="122"/>
      <c r="Y11" s="122"/>
      <c r="Z11" s="122"/>
      <c r="AA11" s="66"/>
      <c r="AB11" s="66"/>
      <c r="AC11" s="66"/>
      <c r="AD11" s="66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2"/>
      <c r="CT11" s="72"/>
      <c r="CU11" s="72"/>
      <c r="CV11" s="72"/>
      <c r="CW11" s="72"/>
      <c r="CX11" s="72"/>
      <c r="CY11" s="72"/>
    </row>
    <row r="12" spans="1:103" s="40" customFormat="1" ht="15" thickBot="1" x14ac:dyDescent="0.4">
      <c r="A12" s="73" t="s">
        <v>134</v>
      </c>
      <c r="B12" s="48" t="e">
        <f t="shared" si="0"/>
        <v>#DIV/0!</v>
      </c>
      <c r="C12" s="77"/>
      <c r="D12" s="36"/>
      <c r="E12" s="36"/>
      <c r="F12" s="36"/>
      <c r="G12" s="36"/>
      <c r="H12" s="37">
        <f>SUM(Table72362[[#This Row],[&lt; 2]:[&gt;12]])</f>
        <v>0</v>
      </c>
      <c r="I12" s="38">
        <f>SUM(Table72362[[#This Row],[VP - 1]:[VP - 54]])</f>
        <v>0</v>
      </c>
      <c r="J12" s="74" t="str">
        <f>IFERROR(VLOOKUP(Table72362[[#This Row],[Species]],'VP1'!$C:$I,7,FALSE),"")</f>
        <v/>
      </c>
      <c r="K12" s="74" t="str">
        <f>IFERROR(VLOOKUP(Table72362[[#This Row],[Species]],'VP2'!$C:$I,7,FALSE),"")</f>
        <v/>
      </c>
      <c r="L12" s="74"/>
      <c r="M12" s="74"/>
      <c r="N12" s="74"/>
      <c r="O12" s="74"/>
      <c r="P12" s="88"/>
      <c r="Q12" s="66"/>
      <c r="R12" s="66"/>
      <c r="S12" s="66"/>
      <c r="T12" s="66"/>
      <c r="U12" s="66"/>
      <c r="V12" s="66"/>
      <c r="W12" s="66"/>
      <c r="X12" s="122"/>
      <c r="Y12" s="122"/>
      <c r="Z12" s="122"/>
      <c r="AA12" s="66"/>
      <c r="AB12" s="66"/>
      <c r="AC12" s="66"/>
      <c r="AD12" s="66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72"/>
      <c r="BM12" s="72"/>
      <c r="BN12" s="72"/>
      <c r="BO12" s="72"/>
      <c r="BP12" s="72"/>
      <c r="BQ12" s="72"/>
      <c r="BR12" s="72"/>
      <c r="BS12" s="72"/>
      <c r="BT12" s="72"/>
      <c r="BU12" s="72"/>
      <c r="BV12" s="72"/>
      <c r="BW12" s="72"/>
      <c r="BX12" s="72"/>
      <c r="BY12" s="72"/>
      <c r="BZ12" s="72"/>
      <c r="CA12" s="72"/>
      <c r="CB12" s="72"/>
      <c r="CC12" s="72"/>
      <c r="CD12" s="72"/>
      <c r="CE12" s="72"/>
      <c r="CF12" s="72"/>
      <c r="CG12" s="72"/>
      <c r="CH12" s="72"/>
      <c r="CI12" s="72"/>
      <c r="CJ12" s="72"/>
      <c r="CK12" s="72"/>
      <c r="CL12" s="72"/>
      <c r="CM12" s="72"/>
      <c r="CN12" s="72"/>
      <c r="CO12" s="72"/>
      <c r="CP12" s="72"/>
      <c r="CQ12" s="72"/>
      <c r="CR12" s="72"/>
      <c r="CS12" s="72"/>
      <c r="CT12" s="72"/>
      <c r="CU12" s="72"/>
      <c r="CV12" s="72"/>
      <c r="CW12" s="72"/>
      <c r="CX12" s="72"/>
      <c r="CY12" s="72"/>
    </row>
    <row r="13" spans="1:103" s="6" customFormat="1" ht="15" thickBot="1" x14ac:dyDescent="0.4">
      <c r="A13" s="73" t="s">
        <v>126</v>
      </c>
      <c r="B13" s="48" t="e">
        <f t="shared" si="0"/>
        <v>#DIV/0!</v>
      </c>
      <c r="C13" s="77"/>
      <c r="D13" s="36"/>
      <c r="E13" s="36"/>
      <c r="F13" s="36"/>
      <c r="G13" s="36"/>
      <c r="H13" s="37">
        <f>SUM(Table72362[[#This Row],[&lt; 2]:[&gt;12]])</f>
        <v>0</v>
      </c>
      <c r="I13" s="38">
        <f>SUM(Table72362[[#This Row],[VP - 1]:[VP - 54]])</f>
        <v>0</v>
      </c>
      <c r="J13" s="74" t="str">
        <f>IFERROR(VLOOKUP(Table72362[[#This Row],[Species]],'VP1'!$C:$I,7,FALSE),"")</f>
        <v/>
      </c>
      <c r="K13" s="74" t="str">
        <f>IFERROR(VLOOKUP(Table72362[[#This Row],[Species]],'VP2'!$C:$I,7,FALSE),"")</f>
        <v/>
      </c>
      <c r="L13" s="74"/>
      <c r="M13" s="74"/>
      <c r="N13" s="74"/>
      <c r="O13" s="74"/>
      <c r="P13" s="88"/>
      <c r="Q13" s="66"/>
      <c r="R13" s="66"/>
      <c r="S13" s="66"/>
      <c r="T13" s="66"/>
      <c r="U13" s="66"/>
      <c r="V13" s="66"/>
      <c r="W13" s="66"/>
      <c r="X13" s="122"/>
      <c r="Y13" s="122"/>
      <c r="Z13" s="122"/>
      <c r="AA13" s="66"/>
      <c r="AB13" s="66"/>
      <c r="AC13" s="66"/>
      <c r="AD13" s="66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2"/>
      <c r="CC13" s="72"/>
      <c r="CD13" s="72"/>
      <c r="CE13" s="72"/>
      <c r="CF13" s="72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</row>
    <row r="14" spans="1:103" s="40" customFormat="1" ht="15" thickBot="1" x14ac:dyDescent="0.4">
      <c r="A14" s="73" t="s">
        <v>76</v>
      </c>
      <c r="B14" s="48" t="e">
        <f t="shared" si="0"/>
        <v>#DIV/0!</v>
      </c>
      <c r="C14" s="74"/>
      <c r="D14" s="36"/>
      <c r="E14" s="36"/>
      <c r="F14" s="36"/>
      <c r="G14" s="36"/>
      <c r="H14" s="37">
        <f>SUM(Table72362[[#This Row],[&lt; 2]:[&gt;12]])</f>
        <v>0</v>
      </c>
      <c r="I14" s="38">
        <f>SUM(Table72362[[#This Row],[VP - 1]:[VP - 54]])</f>
        <v>0</v>
      </c>
      <c r="J14" s="74" t="str">
        <f>IFERROR(VLOOKUP(Table72362[[#This Row],[Species]],'VP1'!$C:$I,7,FALSE),"")</f>
        <v/>
      </c>
      <c r="K14" s="74" t="str">
        <f>IFERROR(VLOOKUP(Table72362[[#This Row],[Species]],'VP2'!$C:$I,7,FALSE),"")</f>
        <v/>
      </c>
      <c r="L14" s="74"/>
      <c r="M14" s="74"/>
      <c r="N14" s="74"/>
      <c r="O14" s="74"/>
      <c r="P14" s="88"/>
      <c r="Q14" s="66"/>
      <c r="R14" s="66"/>
      <c r="S14" s="66"/>
      <c r="T14" s="66"/>
      <c r="U14" s="66"/>
      <c r="V14" s="66"/>
      <c r="W14" s="66"/>
      <c r="X14" s="122"/>
      <c r="Y14" s="122"/>
      <c r="Z14" s="122"/>
      <c r="AA14" s="66"/>
      <c r="AB14" s="66"/>
      <c r="AC14" s="66"/>
      <c r="AD14" s="66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/>
      <c r="CW14" s="72"/>
      <c r="CX14" s="72"/>
      <c r="CY14" s="72"/>
    </row>
    <row r="15" spans="1:103" s="40" customFormat="1" ht="15" thickBot="1" x14ac:dyDescent="0.4">
      <c r="A15" s="73" t="s">
        <v>97</v>
      </c>
      <c r="B15" s="48" t="e">
        <f t="shared" si="0"/>
        <v>#DIV/0!</v>
      </c>
      <c r="C15" s="74"/>
      <c r="D15" s="36"/>
      <c r="E15" s="36"/>
      <c r="F15" s="36"/>
      <c r="G15" s="36"/>
      <c r="H15" s="37">
        <f>SUM(Table72362[[#This Row],[&lt; 2]:[&gt;12]])</f>
        <v>0</v>
      </c>
      <c r="I15" s="38">
        <f>SUM(Table72362[[#This Row],[VP - 1]:[VP - 54]])</f>
        <v>0</v>
      </c>
      <c r="J15" s="74" t="str">
        <f>IFERROR(VLOOKUP(Table72362[[#This Row],[Species]],'VP1'!$C:$I,7,FALSE),"")</f>
        <v/>
      </c>
      <c r="K15" s="74" t="str">
        <f>IFERROR(VLOOKUP(Table72362[[#This Row],[Species]],'VP2'!$C:$I,7,FALSE),"")</f>
        <v/>
      </c>
      <c r="L15" s="74"/>
      <c r="M15" s="74"/>
      <c r="N15" s="74"/>
      <c r="O15" s="74"/>
      <c r="P15" s="88"/>
      <c r="Q15" s="92"/>
      <c r="R15" s="92"/>
      <c r="S15" s="92"/>
      <c r="T15" s="92"/>
      <c r="U15" s="92"/>
      <c r="V15" s="92"/>
      <c r="W15" s="93"/>
      <c r="X15" s="122"/>
      <c r="Y15" s="122"/>
      <c r="Z15" s="122"/>
      <c r="AA15" s="92"/>
      <c r="AB15" s="92"/>
      <c r="AC15" s="92"/>
      <c r="AD15" s="92"/>
      <c r="AE15" s="94"/>
      <c r="AF15" s="94"/>
      <c r="AG15" s="94"/>
      <c r="AH15" s="94"/>
      <c r="AI15" s="94"/>
      <c r="AJ15" s="94"/>
      <c r="AK15" s="95"/>
      <c r="AL15" s="94"/>
      <c r="AM15" s="95"/>
      <c r="AN15" s="94"/>
      <c r="AO15" s="94"/>
      <c r="AP15" s="95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72"/>
      <c r="BM15" s="72"/>
      <c r="BN15" s="72"/>
      <c r="BO15" s="72"/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/>
      <c r="CV15" s="72"/>
      <c r="CW15" s="72"/>
      <c r="CX15" s="72"/>
      <c r="CY15" s="72"/>
    </row>
    <row r="16" spans="1:103" s="40" customFormat="1" ht="15" thickBot="1" x14ac:dyDescent="0.4">
      <c r="A16" s="76" t="s">
        <v>96</v>
      </c>
      <c r="B16" s="28" t="e">
        <f t="shared" si="0"/>
        <v>#DIV/0!</v>
      </c>
      <c r="C16" s="83"/>
      <c r="D16" s="50"/>
      <c r="E16" s="50"/>
      <c r="F16" s="50"/>
      <c r="G16" s="50"/>
      <c r="H16" s="112">
        <f>SUM(Table72362[[#This Row],[&lt; 2]:[&gt;12]])</f>
        <v>0</v>
      </c>
      <c r="I16" s="29">
        <f>SUM(Table72362[[#This Row],[VP - 1]:[VP - 54]])</f>
        <v>0</v>
      </c>
      <c r="J16" s="61" t="str">
        <f>IFERROR(VLOOKUP(Table72362[[#This Row],[Species]],'VP1'!$C:$I,7,FALSE),"")</f>
        <v/>
      </c>
      <c r="K16" s="61" t="str">
        <f>IFERROR(VLOOKUP(Table72362[[#This Row],[Species]],'VP2'!$C:$I,7,FALSE),"")</f>
        <v/>
      </c>
      <c r="L16" s="61"/>
      <c r="M16" s="61"/>
      <c r="N16" s="61"/>
      <c r="O16" s="61"/>
      <c r="P16" s="86"/>
      <c r="Q16" s="87"/>
      <c r="R16" s="87"/>
      <c r="S16" s="87"/>
      <c r="T16" s="87"/>
      <c r="U16" s="87"/>
      <c r="V16" s="87"/>
      <c r="W16" s="87"/>
      <c r="X16" s="121"/>
      <c r="Y16" s="121"/>
      <c r="Z16" s="121"/>
      <c r="AA16" s="87"/>
      <c r="AB16" s="87"/>
      <c r="AC16" s="87"/>
      <c r="AD16" s="87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72"/>
      <c r="BM16" s="72"/>
      <c r="BN16" s="72"/>
      <c r="BO16" s="72"/>
      <c r="BP16" s="72"/>
      <c r="BQ16" s="72"/>
      <c r="BR16" s="72"/>
      <c r="BS16" s="72"/>
      <c r="BT16" s="72"/>
      <c r="BU16" s="72"/>
      <c r="BV16" s="72"/>
      <c r="BW16" s="72"/>
      <c r="BX16" s="72"/>
      <c r="BY16" s="72"/>
      <c r="BZ16" s="72"/>
      <c r="CA16" s="72"/>
      <c r="CB16" s="72"/>
      <c r="CC16" s="72"/>
      <c r="CD16" s="72"/>
      <c r="CE16" s="72"/>
      <c r="CF16" s="72"/>
      <c r="CG16" s="72"/>
      <c r="CH16" s="72"/>
      <c r="CI16" s="72"/>
      <c r="CJ16" s="72"/>
      <c r="CK16" s="72"/>
      <c r="CL16" s="72"/>
      <c r="CM16" s="72"/>
      <c r="CN16" s="72"/>
      <c r="CO16" s="72"/>
      <c r="CP16" s="72"/>
      <c r="CQ16" s="72"/>
      <c r="CR16" s="72"/>
      <c r="CS16" s="72"/>
      <c r="CT16" s="72"/>
      <c r="CU16" s="72"/>
      <c r="CV16" s="72"/>
      <c r="CW16" s="72"/>
      <c r="CX16" s="72"/>
      <c r="CY16" s="72"/>
    </row>
    <row r="17" spans="1:103" s="6" customFormat="1" ht="15" thickBot="1" x14ac:dyDescent="0.4">
      <c r="A17" s="76" t="s">
        <v>14</v>
      </c>
      <c r="B17" s="28" t="e">
        <f t="shared" si="0"/>
        <v>#DIV/0!</v>
      </c>
      <c r="C17" s="78"/>
      <c r="D17" s="50"/>
      <c r="E17" s="50"/>
      <c r="F17" s="50"/>
      <c r="G17" s="50"/>
      <c r="H17" s="112">
        <f>SUM(Table72362[[#This Row],[&lt; 2]:[&gt;12]])</f>
        <v>0</v>
      </c>
      <c r="I17" s="29">
        <f>SUM(Table72362[[#This Row],[VP - 1]:[VP - 54]])</f>
        <v>0</v>
      </c>
      <c r="J17" s="61" t="str">
        <f>IFERROR(VLOOKUP(Table72362[[#This Row],[Species]],'VP1'!$C:$I,7,FALSE),"")</f>
        <v/>
      </c>
      <c r="K17" s="61" t="str">
        <f>IFERROR(VLOOKUP(Table72362[[#This Row],[Species]],'VP2'!$C:$I,7,FALSE),"")</f>
        <v/>
      </c>
      <c r="L17" s="61"/>
      <c r="M17" s="61"/>
      <c r="N17" s="61"/>
      <c r="O17" s="61"/>
      <c r="P17" s="86"/>
      <c r="Q17" s="87"/>
      <c r="R17" s="87"/>
      <c r="S17" s="87"/>
      <c r="T17" s="87"/>
      <c r="U17" s="87"/>
      <c r="V17" s="87"/>
      <c r="W17" s="87"/>
      <c r="X17" s="121"/>
      <c r="Y17" s="121"/>
      <c r="Z17" s="121"/>
      <c r="AA17" s="87"/>
      <c r="AB17" s="87"/>
      <c r="AC17" s="87"/>
      <c r="AD17" s="87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72"/>
      <c r="BM17" s="72"/>
      <c r="BN17" s="72"/>
      <c r="BO17" s="72"/>
      <c r="BP17" s="72"/>
      <c r="BQ17" s="72"/>
      <c r="BR17" s="72"/>
      <c r="BS17" s="72"/>
      <c r="BT17" s="72"/>
      <c r="BU17" s="72"/>
      <c r="BV17" s="72"/>
      <c r="BW17" s="72"/>
      <c r="BX17" s="72"/>
      <c r="BY17" s="72"/>
      <c r="BZ17" s="72"/>
      <c r="CA17" s="72"/>
      <c r="CB17" s="72"/>
      <c r="CC17" s="72"/>
      <c r="CD17" s="72"/>
      <c r="CE17" s="72"/>
      <c r="CF17" s="72"/>
      <c r="CG17" s="72"/>
      <c r="CH17" s="72"/>
      <c r="CI17" s="72"/>
      <c r="CJ17" s="72"/>
      <c r="CK17" s="72"/>
      <c r="CL17" s="72"/>
      <c r="CM17" s="72"/>
      <c r="CN17" s="72"/>
      <c r="CO17" s="72"/>
      <c r="CP17" s="72"/>
      <c r="CQ17" s="72"/>
      <c r="CR17" s="72"/>
      <c r="CS17" s="72"/>
      <c r="CT17" s="72"/>
      <c r="CU17" s="72"/>
      <c r="CV17" s="72"/>
      <c r="CW17" s="72"/>
      <c r="CX17" s="72"/>
      <c r="CY17" s="72"/>
    </row>
    <row r="18" spans="1:103" s="40" customFormat="1" ht="15" thickBot="1" x14ac:dyDescent="0.4">
      <c r="A18" s="73" t="s">
        <v>77</v>
      </c>
      <c r="B18" s="48" t="e">
        <f t="shared" si="0"/>
        <v>#DIV/0!</v>
      </c>
      <c r="C18" s="74"/>
      <c r="D18" s="36"/>
      <c r="E18" s="36"/>
      <c r="F18" s="36"/>
      <c r="G18" s="36"/>
      <c r="H18" s="37">
        <f>SUM(Table72362[[#This Row],[&lt; 2]:[&gt;12]])</f>
        <v>0</v>
      </c>
      <c r="I18" s="38">
        <f>SUM(Table72362[[#This Row],[VP - 1]:[VP - 54]])</f>
        <v>0</v>
      </c>
      <c r="J18" s="74" t="str">
        <f>IFERROR(VLOOKUP(Table72362[[#This Row],[Species]],'VP1'!$C:$I,7,FALSE),"")</f>
        <v/>
      </c>
      <c r="K18" s="74" t="str">
        <f>IFERROR(VLOOKUP(Table72362[[#This Row],[Species]],'VP2'!$C:$I,7,FALSE),"")</f>
        <v/>
      </c>
      <c r="L18" s="74"/>
      <c r="M18" s="74"/>
      <c r="N18" s="74"/>
      <c r="O18" s="74"/>
      <c r="P18" s="88"/>
      <c r="Q18" s="66"/>
      <c r="R18" s="66"/>
      <c r="S18" s="66"/>
      <c r="T18" s="66"/>
      <c r="U18" s="66"/>
      <c r="V18" s="66"/>
      <c r="W18" s="66"/>
      <c r="X18" s="122"/>
      <c r="Y18" s="122"/>
      <c r="Z18" s="122"/>
      <c r="AA18" s="66"/>
      <c r="AB18" s="66"/>
      <c r="AC18" s="66"/>
      <c r="AD18" s="66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72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  <c r="CV18" s="72"/>
      <c r="CW18" s="72"/>
      <c r="CX18" s="72"/>
      <c r="CY18" s="72"/>
    </row>
    <row r="19" spans="1:103" s="41" customFormat="1" ht="15" thickBot="1" x14ac:dyDescent="0.4">
      <c r="A19" s="76" t="s">
        <v>116</v>
      </c>
      <c r="B19" s="28" t="e">
        <f t="shared" si="0"/>
        <v>#DIV/0!</v>
      </c>
      <c r="C19" s="61"/>
      <c r="D19" s="50"/>
      <c r="E19" s="50"/>
      <c r="F19" s="50"/>
      <c r="G19" s="50"/>
      <c r="H19" s="112">
        <f>SUM(Table72362[[#This Row],[&lt; 2]:[&gt;12]])</f>
        <v>0</v>
      </c>
      <c r="I19" s="29">
        <f>SUM(Table72362[[#This Row],[VP - 1]:[VP - 54]])</f>
        <v>0</v>
      </c>
      <c r="J19" s="61" t="str">
        <f>IFERROR(VLOOKUP(Table72362[[#This Row],[Species]],'VP1'!$C:$I,7,FALSE),"")</f>
        <v/>
      </c>
      <c r="K19" s="61" t="str">
        <f>IFERROR(VLOOKUP(Table72362[[#This Row],[Species]],'VP2'!$C:$I,7,FALSE),"")</f>
        <v/>
      </c>
      <c r="L19" s="61"/>
      <c r="M19" s="61"/>
      <c r="N19" s="61"/>
      <c r="O19" s="61"/>
      <c r="P19" s="86"/>
      <c r="Q19" s="90"/>
      <c r="R19" s="90"/>
      <c r="S19" s="90"/>
      <c r="T19" s="90"/>
      <c r="U19" s="90"/>
      <c r="V19" s="90"/>
      <c r="W19" s="90"/>
      <c r="X19" s="121"/>
      <c r="Y19" s="121"/>
      <c r="Z19" s="121"/>
      <c r="AA19" s="90"/>
      <c r="AB19" s="90"/>
      <c r="AC19" s="90"/>
      <c r="AD19" s="90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17"/>
      <c r="BM19" s="117"/>
      <c r="BN19" s="117"/>
      <c r="BO19" s="117"/>
      <c r="BP19" s="117"/>
      <c r="BQ19" s="117"/>
      <c r="BR19" s="117"/>
      <c r="BS19" s="117"/>
      <c r="BT19" s="117"/>
      <c r="BU19" s="117"/>
      <c r="BV19" s="117"/>
      <c r="BW19" s="117"/>
      <c r="BX19" s="117"/>
      <c r="BY19" s="117"/>
      <c r="BZ19" s="117"/>
      <c r="CA19" s="117"/>
      <c r="CB19" s="117"/>
      <c r="CC19" s="117"/>
      <c r="CD19" s="117"/>
      <c r="CE19" s="117"/>
      <c r="CF19" s="117"/>
      <c r="CG19" s="117"/>
      <c r="CH19" s="117"/>
      <c r="CI19" s="117"/>
      <c r="CJ19" s="117"/>
      <c r="CK19" s="117"/>
      <c r="CL19" s="117"/>
      <c r="CM19" s="117"/>
      <c r="CN19" s="117"/>
      <c r="CO19" s="117"/>
      <c r="CP19" s="117"/>
      <c r="CQ19" s="117"/>
      <c r="CR19" s="117"/>
      <c r="CS19" s="117"/>
      <c r="CT19" s="117"/>
      <c r="CU19" s="117"/>
      <c r="CV19" s="117"/>
      <c r="CW19" s="117"/>
      <c r="CX19" s="117"/>
      <c r="CY19" s="117"/>
    </row>
    <row r="20" spans="1:103" s="6" customFormat="1" ht="15" thickBot="1" x14ac:dyDescent="0.4">
      <c r="A20" s="73" t="s">
        <v>13</v>
      </c>
      <c r="B20" s="48" t="e">
        <f t="shared" si="0"/>
        <v>#DIV/0!</v>
      </c>
      <c r="C20" s="74"/>
      <c r="D20" s="36"/>
      <c r="E20" s="36"/>
      <c r="F20" s="36"/>
      <c r="G20" s="36"/>
      <c r="H20" s="37">
        <f>SUM(Table72362[[#This Row],[&lt; 2]:[&gt;12]])</f>
        <v>0</v>
      </c>
      <c r="I20" s="38">
        <f>SUM(Table72362[[#This Row],[VP - 1]:[VP - 54]])</f>
        <v>0</v>
      </c>
      <c r="J20" s="74" t="str">
        <f>IFERROR(VLOOKUP(Table72362[[#This Row],[Species]],'VP1'!$C:$I,7,FALSE),"")</f>
        <v/>
      </c>
      <c r="K20" s="74" t="str">
        <f>IFERROR(VLOOKUP(Table72362[[#This Row],[Species]],'VP2'!$C:$I,7,FALSE),"")</f>
        <v/>
      </c>
      <c r="L20" s="74"/>
      <c r="M20" s="74"/>
      <c r="N20" s="74"/>
      <c r="O20" s="74"/>
      <c r="P20" s="88"/>
      <c r="Q20" s="66"/>
      <c r="R20" s="66"/>
      <c r="S20" s="66"/>
      <c r="T20" s="66"/>
      <c r="U20" s="66"/>
      <c r="V20" s="66"/>
      <c r="W20" s="66"/>
      <c r="X20" s="122"/>
      <c r="Y20" s="122"/>
      <c r="Z20" s="122"/>
      <c r="AA20" s="66"/>
      <c r="AB20" s="66"/>
      <c r="AC20" s="66"/>
      <c r="AD20" s="66"/>
      <c r="AE20" s="89"/>
      <c r="AF20" s="66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  <c r="CV20" s="72"/>
      <c r="CW20" s="72"/>
      <c r="CX20" s="72"/>
      <c r="CY20" s="72"/>
    </row>
    <row r="21" spans="1:103" s="6" customFormat="1" ht="15" thickBot="1" x14ac:dyDescent="0.4">
      <c r="A21" s="73" t="s">
        <v>4</v>
      </c>
      <c r="B21" s="48" t="e">
        <f t="shared" si="0"/>
        <v>#DIV/0!</v>
      </c>
      <c r="C21" s="74"/>
      <c r="D21" s="36"/>
      <c r="E21" s="36"/>
      <c r="F21" s="36"/>
      <c r="G21" s="36"/>
      <c r="H21" s="37">
        <f>SUM(Table72362[[#This Row],[&lt; 2]:[&gt;12]])</f>
        <v>0</v>
      </c>
      <c r="I21" s="38">
        <f>SUM(Table72362[[#This Row],[VP - 1]:[VP - 54]])</f>
        <v>0</v>
      </c>
      <c r="J21" s="74" t="str">
        <f>IFERROR(VLOOKUP(Table72362[[#This Row],[Species]],'VP1'!$C:$I,7,FALSE),"")</f>
        <v/>
      </c>
      <c r="K21" s="74" t="str">
        <f>IFERROR(VLOOKUP(Table72362[[#This Row],[Species]],'VP2'!$C:$I,7,FALSE),"")</f>
        <v/>
      </c>
      <c r="L21" s="74"/>
      <c r="M21" s="74"/>
      <c r="N21" s="74"/>
      <c r="O21" s="74"/>
      <c r="P21" s="88"/>
      <c r="Q21" s="66"/>
      <c r="R21" s="66"/>
      <c r="S21" s="66"/>
      <c r="T21" s="66"/>
      <c r="U21" s="66"/>
      <c r="V21" s="66"/>
      <c r="W21" s="66"/>
      <c r="X21" s="122"/>
      <c r="Y21" s="122"/>
      <c r="Z21" s="122"/>
      <c r="AA21" s="66"/>
      <c r="AB21" s="66"/>
      <c r="AC21" s="66"/>
      <c r="AD21" s="66"/>
      <c r="AE21" s="66"/>
      <c r="AF21" s="66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72"/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  <c r="CV21" s="72"/>
      <c r="CW21" s="72"/>
      <c r="CX21" s="72"/>
      <c r="CY21" s="72"/>
    </row>
    <row r="22" spans="1:103" s="40" customFormat="1" ht="15" thickBot="1" x14ac:dyDescent="0.4">
      <c r="A22" s="76" t="s">
        <v>92</v>
      </c>
      <c r="B22" s="28" t="e">
        <f t="shared" si="0"/>
        <v>#DIV/0!</v>
      </c>
      <c r="C22" s="61"/>
      <c r="D22" s="50"/>
      <c r="E22" s="50"/>
      <c r="F22" s="50"/>
      <c r="G22" s="50"/>
      <c r="H22" s="112">
        <f>SUM(Table72362[[#This Row],[&lt; 2]:[&gt;12]])</f>
        <v>0</v>
      </c>
      <c r="I22" s="29">
        <f>SUM(Table72362[[#This Row],[VP - 1]:[VP - 54]])</f>
        <v>0</v>
      </c>
      <c r="J22" s="61" t="str">
        <f>IFERROR(VLOOKUP(Table72362[[#This Row],[Species]],'VP1'!$C:$I,7,FALSE),"")</f>
        <v/>
      </c>
      <c r="K22" s="61" t="str">
        <f>IFERROR(VLOOKUP(Table72362[[#This Row],[Species]],'VP2'!$C:$I,7,FALSE),"")</f>
        <v/>
      </c>
      <c r="L22" s="61"/>
      <c r="M22" s="61"/>
      <c r="N22" s="61"/>
      <c r="O22" s="61"/>
      <c r="P22" s="86"/>
      <c r="Q22" s="90"/>
      <c r="R22" s="90"/>
      <c r="S22" s="90"/>
      <c r="T22" s="90"/>
      <c r="U22" s="90"/>
      <c r="V22" s="90"/>
      <c r="W22" s="90"/>
      <c r="X22" s="121"/>
      <c r="Y22" s="121"/>
      <c r="Z22" s="121"/>
      <c r="AA22" s="90"/>
      <c r="AB22" s="90"/>
      <c r="AC22" s="90"/>
      <c r="AD22" s="90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  <c r="CV22" s="72"/>
      <c r="CW22" s="72"/>
      <c r="CX22" s="72"/>
      <c r="CY22" s="72"/>
    </row>
    <row r="23" spans="1:103" s="6" customFormat="1" ht="15" thickBot="1" x14ac:dyDescent="0.4">
      <c r="A23" s="73" t="s">
        <v>3</v>
      </c>
      <c r="B23" s="48" t="e">
        <f t="shared" si="0"/>
        <v>#DIV/0!</v>
      </c>
      <c r="C23" s="74"/>
      <c r="D23" s="36"/>
      <c r="E23" s="36"/>
      <c r="F23" s="36"/>
      <c r="G23" s="36"/>
      <c r="H23" s="37">
        <f>SUM(Table72362[[#This Row],[&lt; 2]:[&gt;12]])</f>
        <v>0</v>
      </c>
      <c r="I23" s="38">
        <f>SUM(Table72362[[#This Row],[VP - 1]:[VP - 54]])</f>
        <v>0</v>
      </c>
      <c r="J23" s="74" t="str">
        <f>IFERROR(VLOOKUP(Table72362[[#This Row],[Species]],'VP1'!$C:$I,7,FALSE),"")</f>
        <v/>
      </c>
      <c r="K23" s="74" t="str">
        <f>IFERROR(VLOOKUP(Table72362[[#This Row],[Species]],'VP2'!$C:$I,7,FALSE),"")</f>
        <v/>
      </c>
      <c r="L23" s="74"/>
      <c r="M23" s="74"/>
      <c r="N23" s="74"/>
      <c r="O23" s="74"/>
      <c r="P23" s="88"/>
      <c r="Q23" s="66"/>
      <c r="R23" s="66"/>
      <c r="S23" s="66"/>
      <c r="T23" s="66"/>
      <c r="U23" s="66"/>
      <c r="V23" s="66"/>
      <c r="W23" s="66"/>
      <c r="X23" s="122"/>
      <c r="Y23" s="122"/>
      <c r="Z23" s="122"/>
      <c r="AA23" s="66"/>
      <c r="AB23" s="66"/>
      <c r="AC23" s="66"/>
      <c r="AD23" s="66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  <c r="CV23" s="72"/>
      <c r="CW23" s="72"/>
      <c r="CX23" s="72"/>
      <c r="CY23" s="72"/>
    </row>
    <row r="24" spans="1:103" s="40" customFormat="1" ht="15" thickBot="1" x14ac:dyDescent="0.4">
      <c r="A24" s="76" t="s">
        <v>85</v>
      </c>
      <c r="B24" s="28" t="e">
        <f t="shared" si="0"/>
        <v>#DIV/0!</v>
      </c>
      <c r="C24" s="78"/>
      <c r="D24" s="50"/>
      <c r="E24" s="50"/>
      <c r="F24" s="50"/>
      <c r="G24" s="50"/>
      <c r="H24" s="113">
        <f>SUM(Table72362[[#This Row],[&lt; 2]:[&gt;12]])</f>
        <v>0</v>
      </c>
      <c r="I24" s="29">
        <f>SUM(Table72362[[#This Row],[VP - 1]:[VP - 54]])</f>
        <v>0</v>
      </c>
      <c r="J24" s="61" t="str">
        <f>IFERROR(VLOOKUP(Table72362[[#This Row],[Species]],'VP1'!$C:$I,7,FALSE),"")</f>
        <v/>
      </c>
      <c r="K24" s="61" t="str">
        <f>IFERROR(VLOOKUP(Table72362[[#This Row],[Species]],'VP2'!$C:$I,7,FALSE),"")</f>
        <v/>
      </c>
      <c r="L24" s="61"/>
      <c r="M24" s="61"/>
      <c r="N24" s="61"/>
      <c r="O24" s="61"/>
      <c r="P24" s="86"/>
      <c r="Q24" s="87"/>
      <c r="R24" s="87"/>
      <c r="S24" s="87"/>
      <c r="T24" s="87"/>
      <c r="U24" s="87"/>
      <c r="V24" s="87"/>
      <c r="W24" s="87"/>
      <c r="X24" s="121"/>
      <c r="Y24" s="121"/>
      <c r="Z24" s="121"/>
      <c r="AA24" s="87"/>
      <c r="AB24" s="87"/>
      <c r="AC24" s="87"/>
      <c r="AD24" s="87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  <c r="CV24" s="72"/>
      <c r="CW24" s="72"/>
      <c r="CX24" s="72"/>
      <c r="CY24" s="72"/>
    </row>
    <row r="25" spans="1:103" s="6" customFormat="1" ht="15" thickBot="1" x14ac:dyDescent="0.4">
      <c r="A25" s="76" t="s">
        <v>11</v>
      </c>
      <c r="B25" s="28" t="e">
        <f t="shared" si="0"/>
        <v>#DIV/0!</v>
      </c>
      <c r="C25" s="61"/>
      <c r="D25" s="50"/>
      <c r="E25" s="50"/>
      <c r="F25" s="50"/>
      <c r="G25" s="50"/>
      <c r="H25" s="112">
        <f>SUM(Table72362[[#This Row],[&lt; 2]:[&gt;12]])</f>
        <v>0</v>
      </c>
      <c r="I25" s="29">
        <f>SUM(Table72362[[#This Row],[VP - 1]:[VP - 54]])</f>
        <v>0</v>
      </c>
      <c r="J25" s="61" t="str">
        <f>IFERROR(VLOOKUP(Table72362[[#This Row],[Species]],'VP1'!$C:$I,7,FALSE),"")</f>
        <v/>
      </c>
      <c r="K25" s="61" t="str">
        <f>IFERROR(VLOOKUP(Table72362[[#This Row],[Species]],'VP2'!$C:$I,7,FALSE),"")</f>
        <v/>
      </c>
      <c r="L25" s="61"/>
      <c r="M25" s="61"/>
      <c r="N25" s="61"/>
      <c r="O25" s="61"/>
      <c r="P25" s="86"/>
      <c r="Q25" s="87"/>
      <c r="R25" s="87"/>
      <c r="S25" s="87"/>
      <c r="T25" s="87"/>
      <c r="U25" s="87"/>
      <c r="V25" s="87"/>
      <c r="W25" s="87"/>
      <c r="X25" s="121"/>
      <c r="Y25" s="121"/>
      <c r="Z25" s="121"/>
      <c r="AA25" s="87"/>
      <c r="AB25" s="87"/>
      <c r="AC25" s="87"/>
      <c r="AD25" s="87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  <c r="CV25" s="72"/>
      <c r="CW25" s="72"/>
      <c r="CX25" s="72"/>
      <c r="CY25" s="72"/>
    </row>
    <row r="26" spans="1:103" s="6" customFormat="1" ht="15" thickBot="1" x14ac:dyDescent="0.4">
      <c r="A26" s="73" t="s">
        <v>115</v>
      </c>
      <c r="B26" s="48" t="e">
        <f t="shared" si="0"/>
        <v>#DIV/0!</v>
      </c>
      <c r="C26" s="74"/>
      <c r="D26" s="36"/>
      <c r="E26" s="36"/>
      <c r="F26" s="36"/>
      <c r="G26" s="36"/>
      <c r="H26" s="139">
        <f>SUM(Table72362[[#This Row],[&lt; 2]:[&gt;12]])</f>
        <v>0</v>
      </c>
      <c r="I26" s="38">
        <f>SUM(Table72362[[#This Row],[VP - 1]:[VP - 54]])</f>
        <v>0</v>
      </c>
      <c r="J26" s="74" t="str">
        <f>IFERROR(VLOOKUP(Table72362[[#This Row],[Species]],'VP1'!$C:$I,7,FALSE),"")</f>
        <v/>
      </c>
      <c r="K26" s="74" t="str">
        <f>IFERROR(VLOOKUP(Table72362[[#This Row],[Species]],'VP2'!$C:$I,7,FALSE),"")</f>
        <v/>
      </c>
      <c r="L26" s="74"/>
      <c r="M26" s="74"/>
      <c r="N26" s="74"/>
      <c r="O26" s="74"/>
      <c r="P26" s="88"/>
      <c r="Q26" s="66"/>
      <c r="R26" s="66"/>
      <c r="S26" s="66"/>
      <c r="T26" s="66"/>
      <c r="U26" s="66"/>
      <c r="V26" s="66"/>
      <c r="W26" s="66"/>
      <c r="X26" s="122"/>
      <c r="Y26" s="122"/>
      <c r="Z26" s="122"/>
      <c r="AA26" s="66"/>
      <c r="AB26" s="66"/>
      <c r="AC26" s="66"/>
      <c r="AD26" s="66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  <c r="CV26" s="72"/>
      <c r="CW26" s="72"/>
      <c r="CX26" s="72"/>
      <c r="CY26" s="72"/>
    </row>
    <row r="27" spans="1:103" s="40" customFormat="1" ht="15" thickBot="1" x14ac:dyDescent="0.4">
      <c r="A27" s="73" t="s">
        <v>79</v>
      </c>
      <c r="B27" s="48" t="e">
        <f t="shared" si="0"/>
        <v>#DIV/0!</v>
      </c>
      <c r="C27" s="74"/>
      <c r="D27" s="36"/>
      <c r="E27" s="36"/>
      <c r="F27" s="36"/>
      <c r="G27" s="36"/>
      <c r="H27" s="37">
        <f>SUM(Table72362[[#This Row],[&lt; 2]:[&gt;12]])</f>
        <v>0</v>
      </c>
      <c r="I27" s="38">
        <f>SUM(Table72362[[#This Row],[VP - 1]:[VP - 54]])</f>
        <v>0</v>
      </c>
      <c r="J27" s="74" t="str">
        <f>IFERROR(VLOOKUP(Table72362[[#This Row],[Species]],'VP1'!$C:$I,7,FALSE),"")</f>
        <v/>
      </c>
      <c r="K27" s="74" t="str">
        <f>IFERROR(VLOOKUP(Table72362[[#This Row],[Species]],'VP2'!$C:$I,7,FALSE),"")</f>
        <v/>
      </c>
      <c r="L27" s="74"/>
      <c r="M27" s="74"/>
      <c r="N27" s="74"/>
      <c r="O27" s="74"/>
      <c r="P27" s="88"/>
      <c r="Q27" s="66"/>
      <c r="R27" s="66"/>
      <c r="S27" s="66"/>
      <c r="T27" s="66"/>
      <c r="U27" s="66"/>
      <c r="V27" s="66"/>
      <c r="W27" s="66"/>
      <c r="X27" s="122"/>
      <c r="Y27" s="122"/>
      <c r="Z27" s="122"/>
      <c r="AA27" s="66"/>
      <c r="AB27" s="66"/>
      <c r="AC27" s="66"/>
      <c r="AD27" s="66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72"/>
      <c r="BM27" s="72"/>
      <c r="BN27" s="72"/>
      <c r="BO27" s="72"/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  <c r="CV27" s="72"/>
      <c r="CW27" s="72"/>
      <c r="CX27" s="72"/>
      <c r="CY27" s="72"/>
    </row>
    <row r="28" spans="1:103" s="6" customFormat="1" ht="15" thickBot="1" x14ac:dyDescent="0.4">
      <c r="A28" s="76" t="s">
        <v>10</v>
      </c>
      <c r="B28" s="28" t="e">
        <f t="shared" si="0"/>
        <v>#DIV/0!</v>
      </c>
      <c r="C28" s="61"/>
      <c r="D28" s="50"/>
      <c r="E28" s="50"/>
      <c r="F28" s="50"/>
      <c r="G28" s="50"/>
      <c r="H28" s="112">
        <f>SUM(Table72362[[#This Row],[&lt; 2]:[&gt;12]])</f>
        <v>0</v>
      </c>
      <c r="I28" s="29">
        <f>SUM(Table72362[[#This Row],[VP - 1]:[VP - 54]])</f>
        <v>0</v>
      </c>
      <c r="J28" s="61" t="str">
        <f>IFERROR(VLOOKUP(Table72362[[#This Row],[Species]],'VP1'!$C:$I,7,FALSE),"")</f>
        <v/>
      </c>
      <c r="K28" s="61" t="str">
        <f>IFERROR(VLOOKUP(Table72362[[#This Row],[Species]],'VP2'!$C:$I,7,FALSE),"")</f>
        <v/>
      </c>
      <c r="L28" s="61"/>
      <c r="M28" s="61"/>
      <c r="N28" s="61"/>
      <c r="O28" s="61"/>
      <c r="P28" s="86"/>
      <c r="Q28" s="87"/>
      <c r="R28" s="87"/>
      <c r="S28" s="87"/>
      <c r="T28" s="87"/>
      <c r="U28" s="87"/>
      <c r="V28" s="87"/>
      <c r="W28" s="87"/>
      <c r="X28" s="121"/>
      <c r="Y28" s="121"/>
      <c r="Z28" s="121"/>
      <c r="AA28" s="87"/>
      <c r="AB28" s="87"/>
      <c r="AC28" s="87"/>
      <c r="AD28" s="87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</row>
    <row r="29" spans="1:103" s="6" customFormat="1" ht="15" thickBot="1" x14ac:dyDescent="0.4">
      <c r="A29" s="76" t="s">
        <v>56</v>
      </c>
      <c r="B29" s="28" t="e">
        <f t="shared" si="0"/>
        <v>#DIV/0!</v>
      </c>
      <c r="C29" s="78"/>
      <c r="D29" s="50"/>
      <c r="E29" s="50"/>
      <c r="F29" s="50"/>
      <c r="G29" s="50"/>
      <c r="H29" s="112">
        <f>SUM(Table72362[[#This Row],[&lt; 2]:[&gt;12]])</f>
        <v>0</v>
      </c>
      <c r="I29" s="29">
        <f>SUM(Table72362[[#This Row],[VP - 1]:[VP - 54]])</f>
        <v>0</v>
      </c>
      <c r="J29" s="61" t="str">
        <f>IFERROR(VLOOKUP(Table72362[[#This Row],[Species]],'VP1'!$C:$I,7,FALSE),"")</f>
        <v/>
      </c>
      <c r="K29" s="61" t="str">
        <f>IFERROR(VLOOKUP(Table72362[[#This Row],[Species]],'VP2'!$C:$I,7,FALSE),"")</f>
        <v/>
      </c>
      <c r="L29" s="61"/>
      <c r="M29" s="61"/>
      <c r="N29" s="61"/>
      <c r="O29" s="61"/>
      <c r="P29" s="86"/>
      <c r="Q29" s="87"/>
      <c r="R29" s="87"/>
      <c r="S29" s="87"/>
      <c r="T29" s="87"/>
      <c r="U29" s="87"/>
      <c r="V29" s="87"/>
      <c r="W29" s="87"/>
      <c r="X29" s="121"/>
      <c r="Y29" s="121"/>
      <c r="Z29" s="121"/>
      <c r="AA29" s="87"/>
      <c r="AB29" s="87"/>
      <c r="AC29" s="87"/>
      <c r="AD29" s="87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  <c r="CV29" s="72"/>
      <c r="CW29" s="72"/>
      <c r="CX29" s="72"/>
      <c r="CY29" s="72"/>
    </row>
    <row r="30" spans="1:103" s="40" customFormat="1" ht="15" thickBot="1" x14ac:dyDescent="0.4">
      <c r="A30" s="73" t="s">
        <v>93</v>
      </c>
      <c r="B30" s="48" t="e">
        <f t="shared" si="0"/>
        <v>#DIV/0!</v>
      </c>
      <c r="C30" s="77"/>
      <c r="D30" s="36"/>
      <c r="E30" s="36"/>
      <c r="F30" s="36"/>
      <c r="G30" s="36"/>
      <c r="H30" s="37">
        <f>SUM(Table72362[[#This Row],[&lt; 2]:[&gt;12]])</f>
        <v>0</v>
      </c>
      <c r="I30" s="38">
        <f>SUM(Table72362[[#This Row],[VP - 1]:[VP - 54]])</f>
        <v>0</v>
      </c>
      <c r="J30" s="74" t="str">
        <f>IFERROR(VLOOKUP(Table72362[[#This Row],[Species]],'VP1'!$C:$I,7,FALSE),"")</f>
        <v/>
      </c>
      <c r="K30" s="74" t="str">
        <f>IFERROR(VLOOKUP(Table72362[[#This Row],[Species]],'VP2'!$C:$I,7,FALSE),"")</f>
        <v/>
      </c>
      <c r="L30" s="74"/>
      <c r="M30" s="74"/>
      <c r="N30" s="74"/>
      <c r="O30" s="74"/>
      <c r="P30" s="88"/>
      <c r="Q30" s="66"/>
      <c r="R30" s="66"/>
      <c r="S30" s="66"/>
      <c r="T30" s="66"/>
      <c r="U30" s="66"/>
      <c r="V30" s="66"/>
      <c r="W30" s="66"/>
      <c r="X30" s="122"/>
      <c r="Y30" s="122"/>
      <c r="Z30" s="122"/>
      <c r="AA30" s="66"/>
      <c r="AB30" s="66"/>
      <c r="AC30" s="66"/>
      <c r="AD30" s="66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</row>
    <row r="31" spans="1:103" s="6" customFormat="1" ht="15" thickBot="1" x14ac:dyDescent="0.4">
      <c r="A31" s="76" t="s">
        <v>99</v>
      </c>
      <c r="B31" s="28" t="e">
        <f t="shared" si="0"/>
        <v>#DIV/0!</v>
      </c>
      <c r="C31" s="80"/>
      <c r="D31" s="50"/>
      <c r="E31" s="50"/>
      <c r="F31" s="50"/>
      <c r="G31" s="50"/>
      <c r="H31" s="112">
        <f>SUM(Table72362[[#This Row],[&lt; 2]:[&gt;12]])</f>
        <v>0</v>
      </c>
      <c r="I31" s="29">
        <f>SUM(Table72362[[#This Row],[VP - 1]:[VP - 54]])</f>
        <v>0</v>
      </c>
      <c r="J31" s="80" t="str">
        <f>IFERROR(VLOOKUP(Table72362[[#This Row],[Species]],'VP1'!$C:$I,7,FALSE),"")</f>
        <v/>
      </c>
      <c r="K31" s="80" t="str">
        <f>IFERROR(VLOOKUP(Table72362[[#This Row],[Species]],'VP2'!$C:$I,7,FALSE),"")</f>
        <v/>
      </c>
      <c r="L31" s="61"/>
      <c r="M31" s="61"/>
      <c r="N31" s="61"/>
      <c r="O31" s="61"/>
      <c r="P31" s="86"/>
      <c r="Q31" s="90"/>
      <c r="R31" s="90"/>
      <c r="S31" s="90"/>
      <c r="T31" s="90"/>
      <c r="U31" s="90"/>
      <c r="V31" s="90"/>
      <c r="W31" s="96"/>
      <c r="X31" s="123"/>
      <c r="Y31" s="121"/>
      <c r="Z31" s="121"/>
      <c r="AA31" s="96"/>
      <c r="AB31" s="96"/>
      <c r="AC31" s="96"/>
      <c r="AD31" s="96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/>
      <c r="AP31" s="97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</row>
    <row r="32" spans="1:103" s="40" customFormat="1" ht="15" thickBot="1" x14ac:dyDescent="0.4">
      <c r="A32" s="76" t="s">
        <v>128</v>
      </c>
      <c r="B32" s="28" t="e">
        <f t="shared" si="0"/>
        <v>#DIV/0!</v>
      </c>
      <c r="C32" s="78"/>
      <c r="D32" s="50"/>
      <c r="E32" s="50"/>
      <c r="F32" s="50"/>
      <c r="G32" s="50"/>
      <c r="H32" s="112">
        <f>SUM(Table72362[[#This Row],[&lt; 2]:[&gt;12]])</f>
        <v>0</v>
      </c>
      <c r="I32" s="29">
        <f>SUM(Table72362[[#This Row],[VP - 1]:[VP - 54]])</f>
        <v>0</v>
      </c>
      <c r="J32" s="61" t="str">
        <f>IFERROR(VLOOKUP(Table72362[[#This Row],[Species]],'VP1'!$C:$I,7,FALSE),"")</f>
        <v/>
      </c>
      <c r="K32" s="61" t="str">
        <f>IFERROR(VLOOKUP(Table72362[[#This Row],[Species]],'VP2'!$C:$I,7,FALSE),"")</f>
        <v/>
      </c>
      <c r="L32" s="61"/>
      <c r="M32" s="61"/>
      <c r="N32" s="61"/>
      <c r="O32" s="61"/>
      <c r="P32" s="86"/>
      <c r="Q32" s="87"/>
      <c r="R32" s="87"/>
      <c r="S32" s="87"/>
      <c r="T32" s="87"/>
      <c r="U32" s="87"/>
      <c r="V32" s="87"/>
      <c r="W32" s="87"/>
      <c r="X32" s="121"/>
      <c r="Y32" s="121"/>
      <c r="Z32" s="121"/>
      <c r="AA32" s="87"/>
      <c r="AB32" s="87"/>
      <c r="AC32" s="87"/>
      <c r="AD32" s="87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2"/>
      <c r="CW32" s="72"/>
      <c r="CX32" s="72"/>
      <c r="CY32" s="72"/>
    </row>
    <row r="33" spans="1:103" s="40" customFormat="1" ht="15" thickBot="1" x14ac:dyDescent="0.4">
      <c r="A33" s="73" t="s">
        <v>6</v>
      </c>
      <c r="B33" s="48" t="e">
        <f t="shared" si="0"/>
        <v>#DIV/0!</v>
      </c>
      <c r="C33" s="74"/>
      <c r="D33" s="36"/>
      <c r="E33" s="36"/>
      <c r="F33" s="36"/>
      <c r="G33" s="36"/>
      <c r="H33" s="37">
        <f>SUM(Table72362[[#This Row],[&lt; 2]:[&gt;12]])</f>
        <v>0</v>
      </c>
      <c r="I33" s="38">
        <f>SUM(Table72362[[#This Row],[VP - 1]:[VP - 54]])</f>
        <v>0</v>
      </c>
      <c r="J33" s="74" t="str">
        <f>IFERROR(VLOOKUP(Table72362[[#This Row],[Species]],'VP1'!$C:$I,7,FALSE),"")</f>
        <v/>
      </c>
      <c r="K33" s="74" t="str">
        <f>IFERROR(VLOOKUP(Table72362[[#This Row],[Species]],'VP2'!$C:$I,7,FALSE),"")</f>
        <v/>
      </c>
      <c r="L33" s="74"/>
      <c r="M33" s="74"/>
      <c r="N33" s="74"/>
      <c r="O33" s="74"/>
      <c r="P33" s="88"/>
      <c r="Q33" s="66"/>
      <c r="R33" s="66"/>
      <c r="S33" s="66"/>
      <c r="T33" s="66"/>
      <c r="U33" s="66"/>
      <c r="V33" s="66"/>
      <c r="W33" s="66"/>
      <c r="X33" s="122"/>
      <c r="Y33" s="122"/>
      <c r="Z33" s="122"/>
      <c r="AA33" s="66"/>
      <c r="AB33" s="66"/>
      <c r="AC33" s="66"/>
      <c r="AD33" s="66"/>
      <c r="AE33" s="66"/>
      <c r="AF33" s="66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  <c r="CV33" s="72"/>
      <c r="CW33" s="72"/>
      <c r="CX33" s="72"/>
      <c r="CY33" s="72"/>
    </row>
    <row r="34" spans="1:103" s="6" customFormat="1" ht="15" thickBot="1" x14ac:dyDescent="0.4">
      <c r="A34" s="76" t="s">
        <v>153</v>
      </c>
      <c r="B34" s="28" t="e">
        <f t="shared" si="0"/>
        <v>#DIV/0!</v>
      </c>
      <c r="C34" s="80"/>
      <c r="D34" s="50"/>
      <c r="E34" s="50"/>
      <c r="F34" s="50"/>
      <c r="G34" s="50"/>
      <c r="H34" s="112">
        <f>SUM(Table72362[[#This Row],[&lt; 2]:[&gt;12]])</f>
        <v>0</v>
      </c>
      <c r="I34" s="29">
        <f>SUM(Table72362[[#This Row],[VP - 1]:[VP - 54]])</f>
        <v>0</v>
      </c>
      <c r="J34" s="80" t="str">
        <f>IFERROR(VLOOKUP(Table72362[[#This Row],[Species]],'VP1'!$C:$I,7,FALSE),"")</f>
        <v/>
      </c>
      <c r="K34" s="80" t="str">
        <f>IFERROR(VLOOKUP(Table72362[[#This Row],[Species]],'VP2'!$C:$I,7,FALSE),"")</f>
        <v/>
      </c>
      <c r="L34" s="80"/>
      <c r="M34" s="80"/>
      <c r="N34" s="80"/>
      <c r="O34" s="80"/>
      <c r="P34" s="102"/>
      <c r="Q34" s="96"/>
      <c r="R34" s="96"/>
      <c r="S34" s="96"/>
      <c r="T34" s="96"/>
      <c r="U34" s="96"/>
      <c r="V34" s="96"/>
      <c r="W34" s="96"/>
      <c r="X34" s="123"/>
      <c r="Y34" s="123"/>
      <c r="Z34" s="123"/>
      <c r="AA34" s="96"/>
      <c r="AB34" s="96"/>
      <c r="AC34" s="96"/>
      <c r="AD34" s="96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  <c r="CY34" s="72"/>
    </row>
    <row r="35" spans="1:103" s="6" customFormat="1" ht="15" thickBot="1" x14ac:dyDescent="0.4">
      <c r="A35" s="76" t="s">
        <v>152</v>
      </c>
      <c r="B35" s="28" t="e">
        <f t="shared" si="0"/>
        <v>#DIV/0!</v>
      </c>
      <c r="C35" s="136"/>
      <c r="D35" s="106"/>
      <c r="E35" s="106"/>
      <c r="F35" s="106"/>
      <c r="G35" s="106"/>
      <c r="H35" s="9">
        <f>SUM(Table72362[[#This Row],[&lt; 2]:[&gt;12]])</f>
        <v>0</v>
      </c>
      <c r="I35" s="29">
        <f>SUM(Table72362[[#This Row],[VP - 1]:[VP - 54]])</f>
        <v>0</v>
      </c>
      <c r="J35" s="87" t="str">
        <f>IFERROR(VLOOKUP(Table72362[[#This Row],[Species]],'VP1'!$C:$I,7,FALSE),"")</f>
        <v/>
      </c>
      <c r="K35" s="87" t="str">
        <f>IFERROR(VLOOKUP(Table72362[[#This Row],[Species]],'VP2'!$C:$I,7,FALSE),"")</f>
        <v/>
      </c>
      <c r="L35" s="87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91"/>
      <c r="Y35" s="91"/>
      <c r="Z35" s="91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  <c r="CY35" s="72"/>
    </row>
    <row r="36" spans="1:103" s="40" customFormat="1" ht="15" thickBot="1" x14ac:dyDescent="0.4">
      <c r="A36" s="73" t="s">
        <v>12</v>
      </c>
      <c r="B36" s="48" t="e">
        <f t="shared" si="0"/>
        <v>#DIV/0!</v>
      </c>
      <c r="C36" s="74"/>
      <c r="D36" s="36"/>
      <c r="E36" s="36"/>
      <c r="F36" s="36"/>
      <c r="G36" s="36"/>
      <c r="H36" s="37">
        <f>SUM(Table72362[[#This Row],[&lt; 2]:[&gt;12]])</f>
        <v>0</v>
      </c>
      <c r="I36" s="38">
        <f>SUM(Table72362[[#This Row],[VP - 1]:[VP - 54]])</f>
        <v>0</v>
      </c>
      <c r="J36" s="74" t="str">
        <f>IFERROR(VLOOKUP(Table72362[[#This Row],[Species]],'VP1'!$C:$I,7,FALSE),"")</f>
        <v/>
      </c>
      <c r="K36" s="74" t="str">
        <f>IFERROR(VLOOKUP(Table72362[[#This Row],[Species]],'VP2'!$C:$I,7,FALSE),"")</f>
        <v/>
      </c>
      <c r="L36" s="74"/>
      <c r="M36" s="74"/>
      <c r="N36" s="74"/>
      <c r="O36" s="74"/>
      <c r="P36" s="88"/>
      <c r="Q36" s="66"/>
      <c r="R36" s="66"/>
      <c r="S36" s="66"/>
      <c r="T36" s="66"/>
      <c r="U36" s="66"/>
      <c r="V36" s="66"/>
      <c r="W36" s="66"/>
      <c r="X36" s="122"/>
      <c r="Y36" s="122"/>
      <c r="Z36" s="122"/>
      <c r="AA36" s="66"/>
      <c r="AB36" s="66"/>
      <c r="AC36" s="66"/>
      <c r="AD36" s="66"/>
      <c r="AE36" s="89"/>
      <c r="AF36" s="89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  <c r="CY36" s="72"/>
    </row>
    <row r="37" spans="1:103" s="40" customFormat="1" ht="15" thickBot="1" x14ac:dyDescent="0.4">
      <c r="A37" s="73" t="s">
        <v>124</v>
      </c>
      <c r="B37" s="48" t="e">
        <f t="shared" ref="B37:B61" si="1">H37/$H$62</f>
        <v>#DIV/0!</v>
      </c>
      <c r="C37" s="74"/>
      <c r="D37" s="36"/>
      <c r="E37" s="36"/>
      <c r="F37" s="36"/>
      <c r="G37" s="36"/>
      <c r="H37" s="37">
        <f>SUM(Table72362[[#This Row],[&lt; 2]:[&gt;12]])</f>
        <v>0</v>
      </c>
      <c r="I37" s="38">
        <f>SUM(Table72362[[#This Row],[VP - 1]:[VP - 54]])</f>
        <v>0</v>
      </c>
      <c r="J37" s="74" t="str">
        <f>IFERROR(VLOOKUP(Table72362[[#This Row],[Species]],'VP1'!$C:$I,7,FALSE),"")</f>
        <v/>
      </c>
      <c r="K37" s="74" t="str">
        <f>IFERROR(VLOOKUP(Table72362[[#This Row],[Species]],'VP2'!$C:$I,7,FALSE),"")</f>
        <v/>
      </c>
      <c r="L37" s="74"/>
      <c r="M37" s="74"/>
      <c r="N37" s="74"/>
      <c r="O37" s="74"/>
      <c r="P37" s="88"/>
      <c r="Q37" s="66"/>
      <c r="R37" s="66"/>
      <c r="S37" s="66"/>
      <c r="T37" s="66"/>
      <c r="U37" s="66"/>
      <c r="V37" s="66"/>
      <c r="W37" s="66"/>
      <c r="X37" s="122"/>
      <c r="Y37" s="122"/>
      <c r="Z37" s="122"/>
      <c r="AA37" s="66"/>
      <c r="AB37" s="66"/>
      <c r="AC37" s="66"/>
      <c r="AD37" s="66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  <c r="CY37" s="72"/>
    </row>
    <row r="38" spans="1:103" s="40" customFormat="1" ht="15" thickBot="1" x14ac:dyDescent="0.4">
      <c r="A38" s="130" t="s">
        <v>145</v>
      </c>
      <c r="B38" s="48" t="e">
        <f t="shared" si="1"/>
        <v>#DIV/0!</v>
      </c>
      <c r="C38" s="137"/>
      <c r="D38" s="126"/>
      <c r="E38" s="126"/>
      <c r="F38" s="126"/>
      <c r="G38" s="126"/>
      <c r="H38" s="37">
        <f>SUM(Table72362[[#This Row],[&lt; 2]:[&gt;12]])</f>
        <v>0</v>
      </c>
      <c r="I38" s="138">
        <f>SUM(Table72362[[#This Row],[VP - 1]:[VP - 54]])</f>
        <v>0</v>
      </c>
      <c r="J38" s="127" t="str">
        <f>IFERROR(VLOOKUP(Table72362[[#This Row],[Species]],'VP1'!$C:$I,7,FALSE),"")</f>
        <v/>
      </c>
      <c r="K38" s="127" t="str">
        <f>IFERROR(VLOOKUP(Table72362[[#This Row],[Species]],'VP2'!$C:$I,7,FALSE),"")</f>
        <v/>
      </c>
      <c r="L38" s="127"/>
      <c r="M38" s="127"/>
      <c r="N38" s="127"/>
      <c r="O38" s="127"/>
      <c r="P38" s="128"/>
      <c r="Q38" s="66"/>
      <c r="R38" s="66"/>
      <c r="S38" s="66"/>
      <c r="T38" s="66"/>
      <c r="U38" s="66"/>
      <c r="V38" s="66"/>
      <c r="W38" s="66"/>
      <c r="X38" s="129"/>
      <c r="Y38" s="129"/>
      <c r="Z38" s="129"/>
      <c r="AA38" s="66"/>
      <c r="AB38" s="66"/>
      <c r="AC38" s="66"/>
      <c r="AD38" s="66"/>
      <c r="AE38" s="89"/>
      <c r="AF38" s="89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</row>
    <row r="39" spans="1:103" s="6" customFormat="1" ht="15" thickBot="1" x14ac:dyDescent="0.4">
      <c r="A39" s="73" t="s">
        <v>5</v>
      </c>
      <c r="B39" s="48" t="e">
        <f t="shared" si="1"/>
        <v>#DIV/0!</v>
      </c>
      <c r="C39" s="79"/>
      <c r="D39" s="36"/>
      <c r="E39" s="36"/>
      <c r="F39" s="36"/>
      <c r="G39" s="36"/>
      <c r="H39" s="37">
        <f>SUM(Table72362[[#This Row],[&lt; 2]:[&gt;12]])</f>
        <v>0</v>
      </c>
      <c r="I39" s="38">
        <f>SUM(Table72362[[#This Row],[VP - 1]:[VP - 54]])</f>
        <v>0</v>
      </c>
      <c r="J39" s="74" t="str">
        <f>IFERROR(VLOOKUP(Table72362[[#This Row],[Species]],'VP1'!$C:$I,7,FALSE),"")</f>
        <v/>
      </c>
      <c r="K39" s="74" t="str">
        <f>IFERROR(VLOOKUP(Table72362[[#This Row],[Species]],'VP2'!$C:$I,7,FALSE),"")</f>
        <v/>
      </c>
      <c r="L39" s="74"/>
      <c r="M39" s="74"/>
      <c r="N39" s="74"/>
      <c r="O39" s="74"/>
      <c r="P39" s="88"/>
      <c r="Q39" s="66"/>
      <c r="R39" s="66"/>
      <c r="S39" s="66"/>
      <c r="T39" s="66"/>
      <c r="U39" s="66"/>
      <c r="V39" s="66"/>
      <c r="W39" s="66"/>
      <c r="X39" s="122"/>
      <c r="Y39" s="122"/>
      <c r="Z39" s="122"/>
      <c r="AA39" s="66"/>
      <c r="AB39" s="66"/>
      <c r="AC39" s="66"/>
      <c r="AD39" s="66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</row>
    <row r="40" spans="1:103" s="6" customFormat="1" ht="15" thickBot="1" x14ac:dyDescent="0.4">
      <c r="A40" s="73" t="s">
        <v>151</v>
      </c>
      <c r="B40" s="48" t="e">
        <f t="shared" si="1"/>
        <v>#DIV/0!</v>
      </c>
      <c r="C40" s="79"/>
      <c r="D40" s="36"/>
      <c r="E40" s="36"/>
      <c r="F40" s="36"/>
      <c r="G40" s="36"/>
      <c r="H40" s="37">
        <f>SUM(Table72362[[#This Row],[&lt; 2]:[&gt;12]])</f>
        <v>0</v>
      </c>
      <c r="I40" s="38">
        <f>SUM(Table72362[[#This Row],[VP - 1]:[VP - 54]])</f>
        <v>0</v>
      </c>
      <c r="J40" s="81" t="str">
        <f>IFERROR(VLOOKUP(Table72362[[#This Row],[Species]],'VP1'!$C:$I,7,FALSE),"")</f>
        <v/>
      </c>
      <c r="K40" s="81" t="str">
        <f>IFERROR(VLOOKUP(Table72362[[#This Row],[Species]],'VP2'!$C:$I,7,FALSE),"")</f>
        <v/>
      </c>
      <c r="L40" s="81"/>
      <c r="M40" s="81"/>
      <c r="N40" s="81"/>
      <c r="O40" s="81"/>
      <c r="P40" s="103"/>
      <c r="Q40" s="93"/>
      <c r="R40" s="93"/>
      <c r="S40" s="93"/>
      <c r="T40" s="93"/>
      <c r="U40" s="93"/>
      <c r="V40" s="93"/>
      <c r="W40" s="93"/>
      <c r="X40" s="124"/>
      <c r="Y40" s="124"/>
      <c r="Z40" s="124"/>
      <c r="AA40" s="92"/>
      <c r="AB40" s="92"/>
      <c r="AC40" s="92"/>
      <c r="AD40" s="92"/>
      <c r="AE40" s="94"/>
      <c r="AF40" s="94"/>
      <c r="AG40" s="94"/>
      <c r="AH40" s="94"/>
      <c r="AI40" s="94"/>
      <c r="AJ40" s="94"/>
      <c r="AK40" s="94"/>
      <c r="AL40" s="95"/>
      <c r="AM40" s="95"/>
      <c r="AN40" s="95"/>
      <c r="AO40" s="95"/>
      <c r="AP40" s="95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</row>
    <row r="41" spans="1:103" s="6" customFormat="1" ht="15" thickBot="1" x14ac:dyDescent="0.4">
      <c r="A41" s="73" t="s">
        <v>122</v>
      </c>
      <c r="B41" s="48" t="e">
        <f t="shared" si="1"/>
        <v>#DIV/0!</v>
      </c>
      <c r="C41" s="79"/>
      <c r="D41" s="36"/>
      <c r="E41" s="36"/>
      <c r="F41" s="36"/>
      <c r="G41" s="36"/>
      <c r="H41" s="37">
        <f>SUM(Table72362[[#This Row],[&lt; 2]:[&gt;12]])</f>
        <v>0</v>
      </c>
      <c r="I41" s="38">
        <f>SUM(Table72362[[#This Row],[VP - 1]:[VP - 54]])</f>
        <v>0</v>
      </c>
      <c r="J41" s="74" t="str">
        <f>IFERROR(VLOOKUP(Table72362[[#This Row],[Species]],'VP1'!$C:$I,7,FALSE),"")</f>
        <v/>
      </c>
      <c r="K41" s="74" t="str">
        <f>IFERROR(VLOOKUP(Table72362[[#This Row],[Species]],'VP2'!$C:$I,7,FALSE),"")</f>
        <v/>
      </c>
      <c r="L41" s="74"/>
      <c r="M41" s="74"/>
      <c r="N41" s="74"/>
      <c r="O41" s="74"/>
      <c r="P41" s="88"/>
      <c r="Q41" s="66"/>
      <c r="R41" s="66"/>
      <c r="S41" s="66"/>
      <c r="T41" s="66"/>
      <c r="U41" s="66"/>
      <c r="V41" s="66"/>
      <c r="W41" s="66"/>
      <c r="X41" s="122"/>
      <c r="Y41" s="122"/>
      <c r="Z41" s="122"/>
      <c r="AA41" s="66"/>
      <c r="AB41" s="66"/>
      <c r="AC41" s="66"/>
      <c r="AD41" s="66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  <c r="CY41" s="72"/>
    </row>
    <row r="42" spans="1:103" s="6" customFormat="1" ht="15" thickBot="1" x14ac:dyDescent="0.4">
      <c r="A42" s="75" t="s">
        <v>94</v>
      </c>
      <c r="B42" s="48" t="e">
        <f t="shared" si="1"/>
        <v>#DIV/0!</v>
      </c>
      <c r="C42" s="82"/>
      <c r="D42" s="82"/>
      <c r="E42" s="82"/>
      <c r="F42" s="82"/>
      <c r="G42" s="82"/>
      <c r="H42" s="37">
        <f>SUM(Table72362[[#This Row],[&lt; 2]:[&gt;12]])</f>
        <v>0</v>
      </c>
      <c r="I42" s="38">
        <f>SUM(Table72362[[#This Row],[VP - 1]:[VP - 54]])</f>
        <v>0</v>
      </c>
      <c r="J42" s="98" t="str">
        <f>IFERROR(VLOOKUP(Table72362[[#This Row],[Species]],'VP1'!$C:$I,7,FALSE),"")</f>
        <v/>
      </c>
      <c r="K42" s="98" t="str">
        <f>IFERROR(VLOOKUP(Table72362[[#This Row],[Species]],'VP2'!$C:$I,7,FALSE),"")</f>
        <v/>
      </c>
      <c r="L42" s="98"/>
      <c r="M42" s="98"/>
      <c r="N42" s="98"/>
      <c r="O42" s="98"/>
      <c r="P42" s="99"/>
      <c r="Q42" s="100"/>
      <c r="R42" s="100"/>
      <c r="S42" s="100"/>
      <c r="T42" s="100"/>
      <c r="U42" s="100"/>
      <c r="V42" s="100"/>
      <c r="W42" s="100"/>
      <c r="X42" s="125"/>
      <c r="Y42" s="125"/>
      <c r="Z42" s="125"/>
      <c r="AA42" s="100"/>
      <c r="AB42" s="100"/>
      <c r="AC42" s="100"/>
      <c r="AD42" s="100"/>
      <c r="AE42" s="101"/>
      <c r="AF42" s="101"/>
      <c r="AG42" s="101"/>
      <c r="AH42" s="101"/>
      <c r="AI42" s="101"/>
      <c r="AJ42" s="101"/>
      <c r="AK42" s="101"/>
      <c r="AL42" s="101"/>
      <c r="AM42" s="101"/>
      <c r="AN42" s="101"/>
      <c r="AO42" s="101"/>
      <c r="AP42" s="101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  <c r="CY42" s="72"/>
    </row>
    <row r="43" spans="1:103" s="6" customFormat="1" ht="15" thickBot="1" x14ac:dyDescent="0.4">
      <c r="A43" s="73" t="s">
        <v>119</v>
      </c>
      <c r="B43" s="48" t="e">
        <f t="shared" si="1"/>
        <v>#DIV/0!</v>
      </c>
      <c r="C43" s="36"/>
      <c r="D43" s="36"/>
      <c r="E43" s="36"/>
      <c r="F43" s="36"/>
      <c r="G43" s="36"/>
      <c r="H43" s="37">
        <f>SUM(Table72362[[#This Row],[&lt; 2]:[&gt;12]])</f>
        <v>0</v>
      </c>
      <c r="I43" s="38">
        <f>SUM(Table72362[[#This Row],[VP - 1]:[VP - 54]])</f>
        <v>0</v>
      </c>
      <c r="J43" s="98" t="str">
        <f>IFERROR(VLOOKUP(Table72362[[#This Row],[Species]],'VP1'!$C:$I,7,FALSE),"")</f>
        <v/>
      </c>
      <c r="K43" s="74" t="str">
        <f>IFERROR(VLOOKUP(Table72362[[#This Row],[Species]],'VP2'!$C:$I,7,FALSE),"")</f>
        <v/>
      </c>
      <c r="L43" s="74"/>
      <c r="M43" s="74"/>
      <c r="N43" s="74"/>
      <c r="O43" s="74"/>
      <c r="P43" s="88"/>
      <c r="Q43" s="66"/>
      <c r="R43" s="66"/>
      <c r="S43" s="66"/>
      <c r="T43" s="66"/>
      <c r="U43" s="66"/>
      <c r="V43" s="66"/>
      <c r="W43" s="66"/>
      <c r="X43" s="122"/>
      <c r="Y43" s="122"/>
      <c r="Z43" s="122"/>
      <c r="AA43" s="66"/>
      <c r="AB43" s="66"/>
      <c r="AC43" s="66"/>
      <c r="AD43" s="66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  <c r="CY43" s="72"/>
    </row>
    <row r="44" spans="1:103" s="6" customFormat="1" ht="15" thickBot="1" x14ac:dyDescent="0.4">
      <c r="A44" s="76" t="s">
        <v>118</v>
      </c>
      <c r="B44" s="28" t="e">
        <f t="shared" si="1"/>
        <v>#DIV/0!</v>
      </c>
      <c r="C44" s="84"/>
      <c r="D44" s="50"/>
      <c r="E44" s="50"/>
      <c r="F44" s="50"/>
      <c r="G44" s="50"/>
      <c r="H44" s="112">
        <f>SUM(Table72362[[#This Row],[&lt; 2]:[&gt;12]])</f>
        <v>0</v>
      </c>
      <c r="I44" s="29">
        <f>SUM(Table72362[[#This Row],[VP - 1]:[VP - 54]])</f>
        <v>0</v>
      </c>
      <c r="J44" s="61" t="str">
        <f>IFERROR(VLOOKUP(Table72362[[#This Row],[Species]],'VP1'!$C:$I,7,FALSE),"")</f>
        <v/>
      </c>
      <c r="K44" s="61" t="str">
        <f>IFERROR(VLOOKUP(Table72362[[#This Row],[Species]],'VP2'!$C:$I,7,FALSE),"")</f>
        <v/>
      </c>
      <c r="L44" s="61"/>
      <c r="M44" s="61"/>
      <c r="N44" s="61"/>
      <c r="O44" s="61"/>
      <c r="P44" s="86"/>
      <c r="Q44" s="90"/>
      <c r="R44" s="90"/>
      <c r="S44" s="90"/>
      <c r="T44" s="90"/>
      <c r="U44" s="62"/>
      <c r="V44" s="90"/>
      <c r="W44" s="90"/>
      <c r="X44" s="121"/>
      <c r="Y44" s="121"/>
      <c r="Z44" s="121"/>
      <c r="AA44" s="90"/>
      <c r="AB44" s="90"/>
      <c r="AC44" s="90"/>
      <c r="AD44" s="90"/>
      <c r="AE44" s="91"/>
      <c r="AF44" s="91"/>
      <c r="AG44" s="91"/>
      <c r="AH44" s="91"/>
      <c r="AI44" s="91"/>
      <c r="AJ44" s="91"/>
      <c r="AK44" s="91"/>
      <c r="AL44" s="91"/>
      <c r="AM44" s="91"/>
      <c r="AN44" s="91"/>
      <c r="AO44" s="91"/>
      <c r="AP44" s="91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</row>
    <row r="45" spans="1:103" s="6" customFormat="1" ht="15" thickBot="1" x14ac:dyDescent="0.4">
      <c r="A45" s="73" t="s">
        <v>95</v>
      </c>
      <c r="B45" s="48" t="e">
        <f t="shared" si="1"/>
        <v>#DIV/0!</v>
      </c>
      <c r="C45" s="134"/>
      <c r="D45" s="36"/>
      <c r="E45" s="36"/>
      <c r="F45" s="36"/>
      <c r="G45" s="36"/>
      <c r="H45" s="46">
        <f>SUM(Table72362[[#This Row],[&lt; 2]:[&gt;12]])</f>
        <v>0</v>
      </c>
      <c r="I45" s="38">
        <f>SUM(Table72362[[#This Row],[VP - 1]:[VP - 54]])</f>
        <v>0</v>
      </c>
      <c r="J45" s="81" t="str">
        <f>IFERROR(VLOOKUP(Table72362[[#This Row],[Species]],'VP1'!$C:$I,7,FALSE),"")</f>
        <v/>
      </c>
      <c r="K45" s="74" t="str">
        <f>IFERROR(VLOOKUP(Table72362[[#This Row],[Species]],'VP2'!$C:$I,7,FALSE),"")</f>
        <v/>
      </c>
      <c r="L45" s="81"/>
      <c r="M45" s="74"/>
      <c r="N45" s="74"/>
      <c r="O45" s="74"/>
      <c r="P45" s="88"/>
      <c r="Q45" s="92"/>
      <c r="R45" s="92"/>
      <c r="S45" s="92"/>
      <c r="T45" s="92"/>
      <c r="U45" s="92"/>
      <c r="V45" s="92"/>
      <c r="W45" s="92"/>
      <c r="X45" s="122"/>
      <c r="Y45" s="124"/>
      <c r="Z45" s="122"/>
      <c r="AA45" s="93"/>
      <c r="AB45" s="93"/>
      <c r="AC45" s="92"/>
      <c r="AD45" s="92"/>
      <c r="AE45" s="94"/>
      <c r="AF45" s="94"/>
      <c r="AG45" s="94"/>
      <c r="AH45" s="94"/>
      <c r="AI45" s="94"/>
      <c r="AJ45" s="94"/>
      <c r="AK45" s="94"/>
      <c r="AL45" s="95"/>
      <c r="AM45" s="95"/>
      <c r="AN45" s="95"/>
      <c r="AO45" s="95"/>
      <c r="AP45" s="95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</row>
    <row r="46" spans="1:103" s="31" customFormat="1" ht="15" thickBot="1" x14ac:dyDescent="0.4">
      <c r="A46" s="73" t="s">
        <v>120</v>
      </c>
      <c r="B46" s="48" t="e">
        <f t="shared" si="1"/>
        <v>#DIV/0!</v>
      </c>
      <c r="C46" s="36"/>
      <c r="D46" s="36"/>
      <c r="E46" s="36"/>
      <c r="F46" s="36"/>
      <c r="G46" s="36"/>
      <c r="H46" s="46">
        <f>SUM(Table72362[[#This Row],[&lt; 2]:[&gt;12]])</f>
        <v>0</v>
      </c>
      <c r="I46" s="38">
        <f>SUM(Table72362[[#This Row],[VP - 1]:[VP - 54]])</f>
        <v>0</v>
      </c>
      <c r="J46" s="74" t="str">
        <f>IFERROR(VLOOKUP(Table72362[[#This Row],[Species]],'VP1'!$C:$I,7,FALSE),"")</f>
        <v/>
      </c>
      <c r="K46" s="74" t="str">
        <f>IFERROR(VLOOKUP(Table72362[[#This Row],[Species]],'VP2'!$C:$I,7,FALSE),"")</f>
        <v/>
      </c>
      <c r="L46" s="74"/>
      <c r="M46" s="74"/>
      <c r="N46" s="74"/>
      <c r="O46" s="74"/>
      <c r="P46" s="88"/>
      <c r="Q46" s="66"/>
      <c r="R46" s="66"/>
      <c r="S46" s="66"/>
      <c r="T46" s="66"/>
      <c r="U46" s="66"/>
      <c r="V46" s="66"/>
      <c r="W46" s="66"/>
      <c r="X46" s="122"/>
      <c r="Y46" s="122"/>
      <c r="Z46" s="122"/>
      <c r="AA46" s="66"/>
      <c r="AB46" s="66"/>
      <c r="AC46" s="66"/>
      <c r="AD46" s="66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</row>
    <row r="47" spans="1:103" s="33" customFormat="1" ht="15" thickBot="1" x14ac:dyDescent="0.4">
      <c r="A47" s="76" t="s">
        <v>84</v>
      </c>
      <c r="B47" s="28" t="e">
        <f t="shared" si="1"/>
        <v>#DIV/0!</v>
      </c>
      <c r="C47" s="50"/>
      <c r="D47" s="50"/>
      <c r="E47" s="50"/>
      <c r="F47" s="50"/>
      <c r="G47" s="50"/>
      <c r="H47" s="114">
        <f>SUM(Table72362[[#This Row],[&lt; 2]:[&gt;12]])</f>
        <v>0</v>
      </c>
      <c r="I47" s="29">
        <f>SUM(Table72362[[#This Row],[VP - 1]:[VP - 54]])</f>
        <v>0</v>
      </c>
      <c r="J47" s="61" t="str">
        <f>IFERROR(VLOOKUP(Table72362[[#This Row],[Species]],'VP1'!$C:$I,7,FALSE),"")</f>
        <v/>
      </c>
      <c r="K47" s="61" t="str">
        <f>IFERROR(VLOOKUP(Table72362[[#This Row],[Species]],'VP2'!$C:$I,7,FALSE),"")</f>
        <v/>
      </c>
      <c r="L47" s="61"/>
      <c r="M47" s="61"/>
      <c r="N47" s="61"/>
      <c r="O47" s="61"/>
      <c r="P47" s="86"/>
      <c r="Q47" s="87"/>
      <c r="R47" s="87"/>
      <c r="S47" s="87"/>
      <c r="T47" s="87"/>
      <c r="U47" s="87"/>
      <c r="V47" s="87"/>
      <c r="W47" s="87"/>
      <c r="X47" s="121"/>
      <c r="Y47" s="121"/>
      <c r="Z47" s="121"/>
      <c r="AA47" s="87"/>
      <c r="AB47" s="87"/>
      <c r="AC47" s="87"/>
      <c r="AD47" s="87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</row>
    <row r="48" spans="1:103" ht="15" thickBot="1" x14ac:dyDescent="0.4">
      <c r="A48" s="76" t="s">
        <v>90</v>
      </c>
      <c r="B48" s="28" t="e">
        <f t="shared" si="1"/>
        <v>#DIV/0!</v>
      </c>
      <c r="C48" s="83"/>
      <c r="D48" s="50"/>
      <c r="E48" s="50"/>
      <c r="F48" s="50"/>
      <c r="G48" s="50"/>
      <c r="H48" s="114">
        <f>SUM(Table72362[[#This Row],[&lt; 2]:[&gt;12]])</f>
        <v>0</v>
      </c>
      <c r="I48" s="29">
        <f>SUM(Table72362[[#This Row],[VP - 1]:[VP - 54]])</f>
        <v>0</v>
      </c>
      <c r="J48" s="61" t="str">
        <f>IFERROR(VLOOKUP(Table72362[[#This Row],[Species]],'VP1'!$C:$I,7,FALSE),"")</f>
        <v/>
      </c>
      <c r="K48" s="61" t="str">
        <f>IFERROR(VLOOKUP(Table72362[[#This Row],[Species]],'VP2'!$C:$I,7,FALSE),"")</f>
        <v/>
      </c>
      <c r="L48" s="61"/>
      <c r="M48" s="61"/>
      <c r="N48" s="61"/>
      <c r="O48" s="61"/>
      <c r="P48" s="86"/>
      <c r="Q48" s="87"/>
      <c r="R48" s="87"/>
      <c r="S48" s="87"/>
      <c r="T48" s="87"/>
      <c r="U48" s="87"/>
      <c r="V48" s="87"/>
      <c r="W48" s="87"/>
      <c r="X48" s="121"/>
      <c r="Y48" s="121"/>
      <c r="Z48" s="121"/>
      <c r="AA48" s="87"/>
      <c r="AB48" s="87"/>
      <c r="AC48" s="87"/>
      <c r="AD48" s="87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</row>
    <row r="49" spans="1:63" s="6" customFormat="1" ht="15" thickBot="1" x14ac:dyDescent="0.4">
      <c r="A49" s="76" t="s">
        <v>125</v>
      </c>
      <c r="B49" s="28" t="e">
        <f t="shared" si="1"/>
        <v>#DIV/0!</v>
      </c>
      <c r="C49" s="83"/>
      <c r="D49" s="50"/>
      <c r="E49" s="50"/>
      <c r="F49" s="50"/>
      <c r="G49" s="50"/>
      <c r="H49" s="114">
        <f>SUM(Table72362[[#This Row],[&lt; 2]:[&gt;12]])</f>
        <v>0</v>
      </c>
      <c r="I49" s="29">
        <f>SUM(Table72362[[#This Row],[VP - 1]:[VP - 54]])</f>
        <v>0</v>
      </c>
      <c r="J49" s="61" t="str">
        <f>IFERROR(VLOOKUP(Table72362[[#This Row],[Species]],'VP1'!$C:$I,7,FALSE),"")</f>
        <v/>
      </c>
      <c r="K49" s="61" t="str">
        <f>IFERROR(VLOOKUP(Table72362[[#This Row],[Species]],'VP2'!$C:$I,7,FALSE),"")</f>
        <v/>
      </c>
      <c r="L49" s="61"/>
      <c r="M49" s="61"/>
      <c r="N49" s="61"/>
      <c r="O49" s="61"/>
      <c r="P49" s="86"/>
      <c r="Q49" s="87"/>
      <c r="R49" s="87"/>
      <c r="S49" s="87"/>
      <c r="T49" s="87"/>
      <c r="U49" s="87"/>
      <c r="V49" s="87"/>
      <c r="W49" s="87"/>
      <c r="X49" s="121"/>
      <c r="Y49" s="121"/>
      <c r="Z49" s="121"/>
      <c r="AA49" s="87"/>
      <c r="AB49" s="87"/>
      <c r="AC49" s="87"/>
      <c r="AD49" s="87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</row>
    <row r="50" spans="1:63" ht="15" thickBot="1" x14ac:dyDescent="0.4">
      <c r="A50" s="76" t="s">
        <v>98</v>
      </c>
      <c r="B50" s="28" t="e">
        <f t="shared" si="1"/>
        <v>#DIV/0!</v>
      </c>
      <c r="C50" s="50"/>
      <c r="D50" s="50"/>
      <c r="E50" s="50"/>
      <c r="F50" s="50"/>
      <c r="G50" s="50"/>
      <c r="H50" s="114">
        <f>SUM(Table72362[[#This Row],[&lt; 2]:[&gt;12]])</f>
        <v>0</v>
      </c>
      <c r="I50" s="29">
        <f>SUM(Table72362[[#This Row],[VP - 1]:[VP - 54]])</f>
        <v>0</v>
      </c>
      <c r="J50" s="61" t="str">
        <f>IFERROR(VLOOKUP(Table72362[[#This Row],[Species]],'VP1'!$C:$I,7,FALSE),"")</f>
        <v/>
      </c>
      <c r="K50" s="61" t="str">
        <f>IFERROR(VLOOKUP(Table72362[[#This Row],[Species]],'VP2'!$C:$I,7,FALSE),"")</f>
        <v/>
      </c>
      <c r="L50" s="61"/>
      <c r="M50" s="61"/>
      <c r="N50" s="61"/>
      <c r="O50" s="61"/>
      <c r="P50" s="86"/>
      <c r="Q50" s="87"/>
      <c r="R50" s="87"/>
      <c r="S50" s="87"/>
      <c r="T50" s="87"/>
      <c r="U50" s="87"/>
      <c r="V50" s="87"/>
      <c r="W50" s="87"/>
      <c r="X50" s="121"/>
      <c r="Y50" s="121"/>
      <c r="Z50" s="121"/>
      <c r="AA50" s="87"/>
      <c r="AB50" s="87"/>
      <c r="AC50" s="87"/>
      <c r="AD50" s="87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</row>
    <row r="51" spans="1:63" s="6" customFormat="1" ht="15" thickBot="1" x14ac:dyDescent="0.4">
      <c r="A51" s="73" t="s">
        <v>127</v>
      </c>
      <c r="B51" s="48" t="e">
        <f t="shared" si="1"/>
        <v>#DIV/0!</v>
      </c>
      <c r="C51" s="79"/>
      <c r="D51" s="36"/>
      <c r="E51" s="36"/>
      <c r="F51" s="36"/>
      <c r="G51" s="36"/>
      <c r="H51" s="46">
        <f>SUM(Table72362[[#This Row],[&lt; 2]:[&gt;12]])</f>
        <v>0</v>
      </c>
      <c r="I51" s="38">
        <f>SUM(Table72362[[#This Row],[VP - 1]:[VP - 54]])</f>
        <v>0</v>
      </c>
      <c r="J51" s="74" t="str">
        <f>IFERROR(VLOOKUP(Table72362[[#This Row],[Species]],'VP1'!$C:$I,7,FALSE),"")</f>
        <v/>
      </c>
      <c r="K51" s="74" t="str">
        <f>IFERROR(VLOOKUP(Table72362[[#This Row],[Species]],'VP2'!$C:$I,7,FALSE),"")</f>
        <v/>
      </c>
      <c r="L51" s="74"/>
      <c r="M51" s="74"/>
      <c r="N51" s="74"/>
      <c r="O51" s="74"/>
      <c r="P51" s="88"/>
      <c r="Q51" s="66"/>
      <c r="R51" s="66"/>
      <c r="S51" s="66"/>
      <c r="T51" s="66"/>
      <c r="U51" s="66"/>
      <c r="V51" s="66"/>
      <c r="W51" s="66"/>
      <c r="X51" s="122"/>
      <c r="Y51" s="122"/>
      <c r="Z51" s="122"/>
      <c r="AA51" s="66"/>
      <c r="AB51" s="66"/>
      <c r="AC51" s="66"/>
      <c r="AD51" s="66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</row>
    <row r="52" spans="1:63" s="6" customFormat="1" ht="15" thickBot="1" x14ac:dyDescent="0.4">
      <c r="A52" s="76" t="s">
        <v>75</v>
      </c>
      <c r="B52" s="28" t="e">
        <f t="shared" si="1"/>
        <v>#DIV/0!</v>
      </c>
      <c r="C52" s="50"/>
      <c r="D52" s="50"/>
      <c r="E52" s="50"/>
      <c r="F52" s="50"/>
      <c r="G52" s="50"/>
      <c r="H52" s="114">
        <f>SUM(Table72362[[#This Row],[&lt; 2]:[&gt;12]])</f>
        <v>0</v>
      </c>
      <c r="I52" s="29">
        <f>SUM(Table72362[[#This Row],[VP - 1]:[VP - 54]])</f>
        <v>0</v>
      </c>
      <c r="J52" s="61" t="str">
        <f>IFERROR(VLOOKUP(Table72362[[#This Row],[Species]],'VP1'!$C:$I,7,FALSE),"")</f>
        <v/>
      </c>
      <c r="K52" s="61" t="str">
        <f>IFERROR(VLOOKUP(Table72362[[#This Row],[Species]],'VP2'!$C:$I,7,FALSE),"")</f>
        <v/>
      </c>
      <c r="L52" s="61"/>
      <c r="M52" s="61"/>
      <c r="N52" s="61"/>
      <c r="O52" s="61"/>
      <c r="P52" s="86"/>
      <c r="Q52" s="87"/>
      <c r="R52" s="87"/>
      <c r="S52" s="87"/>
      <c r="T52" s="87"/>
      <c r="U52" s="87"/>
      <c r="V52" s="87"/>
      <c r="W52" s="87"/>
      <c r="X52" s="90"/>
      <c r="Y52" s="90"/>
      <c r="Z52" s="90"/>
      <c r="AA52" s="87"/>
      <c r="AB52" s="87"/>
      <c r="AC52" s="87"/>
      <c r="AD52" s="87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</row>
    <row r="53" spans="1:63" s="6" customFormat="1" ht="15" thickBot="1" x14ac:dyDescent="0.4">
      <c r="A53" s="73" t="s">
        <v>82</v>
      </c>
      <c r="B53" s="48" t="e">
        <f t="shared" si="1"/>
        <v>#DIV/0!</v>
      </c>
      <c r="C53" s="36"/>
      <c r="D53" s="36"/>
      <c r="E53" s="36"/>
      <c r="F53" s="36"/>
      <c r="G53" s="36"/>
      <c r="H53" s="46">
        <f>SUM(Table72362[[#This Row],[&lt; 2]:[&gt;12]])</f>
        <v>0</v>
      </c>
      <c r="I53" s="38">
        <f>SUM(Table72362[[#This Row],[VP - 1]:[VP - 54]])</f>
        <v>0</v>
      </c>
      <c r="J53" s="74" t="str">
        <f>IFERROR(VLOOKUP(Table72362[[#This Row],[Species]],'VP1'!$C:$I,7,FALSE),"")</f>
        <v/>
      </c>
      <c r="K53" s="74" t="str">
        <f>IFERROR(VLOOKUP(Table72362[[#This Row],[Species]],'VP2'!$C:$I,7,FALSE),"")</f>
        <v/>
      </c>
      <c r="L53" s="74"/>
      <c r="M53" s="74"/>
      <c r="N53" s="74"/>
      <c r="O53" s="74"/>
      <c r="P53" s="88"/>
      <c r="Q53" s="66"/>
      <c r="R53" s="66"/>
      <c r="S53" s="66"/>
      <c r="T53" s="66"/>
      <c r="U53" s="66"/>
      <c r="V53" s="66"/>
      <c r="W53" s="66"/>
      <c r="X53" s="122"/>
      <c r="Y53" s="122"/>
      <c r="Z53" s="122"/>
      <c r="AA53" s="66"/>
      <c r="AB53" s="66"/>
      <c r="AC53" s="66"/>
      <c r="AD53" s="66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</row>
    <row r="54" spans="1:63" s="72" customFormat="1" ht="15" thickBot="1" x14ac:dyDescent="0.4">
      <c r="A54" s="76" t="s">
        <v>129</v>
      </c>
      <c r="B54" s="28" t="e">
        <f t="shared" si="1"/>
        <v>#DIV/0!</v>
      </c>
      <c r="C54" s="85"/>
      <c r="D54" s="50"/>
      <c r="E54" s="50"/>
      <c r="F54" s="50"/>
      <c r="G54" s="50"/>
      <c r="H54" s="114">
        <f>SUM(Table72362[[#This Row],[&lt; 2]:[&gt;12]])</f>
        <v>0</v>
      </c>
      <c r="I54" s="29">
        <f>SUM(Table72362[[#This Row],[VP - 1]:[VP - 54]])</f>
        <v>0</v>
      </c>
      <c r="J54" s="80" t="str">
        <f>IFERROR(VLOOKUP(Table72362[[#This Row],[Species]],'VP1'!$C:$I,7,FALSE),"")</f>
        <v/>
      </c>
      <c r="K54" s="80" t="str">
        <f>IFERROR(VLOOKUP(Table72362[[#This Row],[Species]],'VP2'!$C:$I,7,FALSE),"")</f>
        <v/>
      </c>
      <c r="L54" s="80"/>
      <c r="M54" s="80"/>
      <c r="N54" s="80"/>
      <c r="O54" s="80"/>
      <c r="P54" s="102"/>
      <c r="Q54" s="96"/>
      <c r="R54" s="96"/>
      <c r="S54" s="96"/>
      <c r="T54" s="96"/>
      <c r="U54" s="96"/>
      <c r="V54" s="96"/>
      <c r="W54" s="96"/>
      <c r="X54" s="123"/>
      <c r="Y54" s="123"/>
      <c r="Z54" s="123"/>
      <c r="AA54" s="96"/>
      <c r="AB54" s="96"/>
      <c r="AC54" s="96"/>
      <c r="AD54" s="96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61"/>
      <c r="AR54" s="61"/>
      <c r="AS54" s="61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</row>
    <row r="55" spans="1:63" ht="15" thickBot="1" x14ac:dyDescent="0.4">
      <c r="A55" s="73" t="s">
        <v>130</v>
      </c>
      <c r="B55" s="48" t="e">
        <f t="shared" si="1"/>
        <v>#DIV/0!</v>
      </c>
      <c r="C55" s="36"/>
      <c r="D55" s="36"/>
      <c r="E55" s="36"/>
      <c r="F55" s="36"/>
      <c r="G55" s="36"/>
      <c r="H55" s="46">
        <f>SUM(Table72362[[#This Row],[&lt; 2]:[&gt;12]])</f>
        <v>0</v>
      </c>
      <c r="I55" s="38">
        <f>SUM(Table72362[[#This Row],[VP - 1]:[VP - 54]])</f>
        <v>0</v>
      </c>
      <c r="J55" s="74" t="str">
        <f>IFERROR(VLOOKUP(Table72362[[#This Row],[Species]],'VP1'!$C:$I,7,FALSE),"")</f>
        <v/>
      </c>
      <c r="K55" s="74" t="str">
        <f>IFERROR(VLOOKUP(Table72362[[#This Row],[Species]],'VP2'!$C:$I,7,FALSE),"")</f>
        <v/>
      </c>
      <c r="L55" s="74"/>
      <c r="M55" s="74"/>
      <c r="N55" s="74"/>
      <c r="O55" s="74"/>
      <c r="P55" s="88"/>
      <c r="Q55" s="66"/>
      <c r="R55" s="66"/>
      <c r="S55" s="66"/>
      <c r="T55" s="66"/>
      <c r="U55" s="66"/>
      <c r="V55" s="66"/>
      <c r="W55" s="66"/>
      <c r="X55" s="122"/>
      <c r="Y55" s="122"/>
      <c r="Z55" s="122"/>
      <c r="AA55" s="66"/>
      <c r="AB55" s="66"/>
      <c r="AC55" s="66"/>
      <c r="AD55" s="66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</row>
    <row r="56" spans="1:63" ht="15" thickBot="1" x14ac:dyDescent="0.4">
      <c r="A56" s="73" t="s">
        <v>78</v>
      </c>
      <c r="B56" s="48" t="e">
        <f t="shared" si="1"/>
        <v>#DIV/0!</v>
      </c>
      <c r="C56" s="36"/>
      <c r="D56" s="36"/>
      <c r="E56" s="36"/>
      <c r="F56" s="36"/>
      <c r="G56" s="36"/>
      <c r="H56" s="46">
        <f>SUM(Table72362[[#This Row],[&lt; 2]:[&gt;12]])</f>
        <v>0</v>
      </c>
      <c r="I56" s="38">
        <f>SUM(Table72362[[#This Row],[VP - 1]:[VP - 54]])</f>
        <v>0</v>
      </c>
      <c r="J56" s="74" t="str">
        <f>IFERROR(VLOOKUP(Table72362[[#This Row],[Species]],'VP1'!$C:$I,7,FALSE),"")</f>
        <v/>
      </c>
      <c r="K56" s="74" t="str">
        <f>IFERROR(VLOOKUP(Table72362[[#This Row],[Species]],'VP2'!$C:$I,7,FALSE),"")</f>
        <v/>
      </c>
      <c r="L56" s="74"/>
      <c r="M56" s="74"/>
      <c r="N56" s="74"/>
      <c r="O56" s="74"/>
      <c r="P56" s="88"/>
      <c r="Q56" s="66"/>
      <c r="R56" s="66"/>
      <c r="S56" s="66"/>
      <c r="T56" s="66"/>
      <c r="U56" s="66"/>
      <c r="V56" s="66"/>
      <c r="W56" s="66"/>
      <c r="X56" s="122"/>
      <c r="Y56" s="122"/>
      <c r="Z56" s="122"/>
      <c r="AA56" s="66"/>
      <c r="AB56" s="66"/>
      <c r="AC56" s="66"/>
      <c r="AD56" s="66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116"/>
      <c r="BD56" s="74"/>
      <c r="BE56" s="74"/>
      <c r="BF56" s="74"/>
      <c r="BG56" s="74"/>
      <c r="BH56" s="74"/>
      <c r="BI56" s="74"/>
      <c r="BJ56" s="74"/>
      <c r="BK56" s="74"/>
    </row>
    <row r="57" spans="1:63" ht="15" thickBot="1" x14ac:dyDescent="0.4">
      <c r="A57" s="73" t="s">
        <v>83</v>
      </c>
      <c r="B57" s="48" t="e">
        <f t="shared" si="1"/>
        <v>#DIV/0!</v>
      </c>
      <c r="C57" s="36"/>
      <c r="D57" s="36"/>
      <c r="E57" s="36"/>
      <c r="F57" s="36"/>
      <c r="G57" s="36"/>
      <c r="H57" s="46">
        <f>SUM(Table72362[[#This Row],[&lt; 2]:[&gt;12]])</f>
        <v>0</v>
      </c>
      <c r="I57" s="38">
        <f>SUM(Table72362[[#This Row],[VP - 1]:[VP - 54]])</f>
        <v>0</v>
      </c>
      <c r="J57" s="74" t="str">
        <f>IFERROR(VLOOKUP(Table72362[[#This Row],[Species]],'VP1'!$C:$I,7,FALSE),"")</f>
        <v/>
      </c>
      <c r="K57" s="74" t="str">
        <f>IFERROR(VLOOKUP(Table72362[[#This Row],[Species]],'VP2'!$C:$I,7,FALSE),"")</f>
        <v/>
      </c>
      <c r="L57" s="74"/>
      <c r="M57" s="74"/>
      <c r="N57" s="74"/>
      <c r="O57" s="74"/>
      <c r="P57" s="88"/>
      <c r="Q57" s="66"/>
      <c r="R57" s="66"/>
      <c r="S57" s="66"/>
      <c r="T57" s="66"/>
      <c r="U57" s="66"/>
      <c r="V57" s="66"/>
      <c r="W57" s="66"/>
      <c r="X57" s="122"/>
      <c r="Y57" s="122"/>
      <c r="Z57" s="122"/>
      <c r="AA57" s="66"/>
      <c r="AB57" s="66"/>
      <c r="AC57" s="66"/>
      <c r="AD57" s="66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116"/>
      <c r="BD57" s="74"/>
      <c r="BE57" s="74"/>
      <c r="BF57" s="74"/>
      <c r="BG57" s="74"/>
      <c r="BH57" s="74"/>
      <c r="BI57" s="74"/>
      <c r="BJ57" s="74"/>
      <c r="BK57" s="74"/>
    </row>
    <row r="58" spans="1:63" ht="15" thickBot="1" x14ac:dyDescent="0.4">
      <c r="A58" s="76" t="s">
        <v>121</v>
      </c>
      <c r="B58" s="28" t="e">
        <f t="shared" si="1"/>
        <v>#DIV/0!</v>
      </c>
      <c r="C58" s="84"/>
      <c r="D58" s="50"/>
      <c r="E58" s="50"/>
      <c r="F58" s="50"/>
      <c r="G58" s="50"/>
      <c r="H58" s="114">
        <f>SUM(Table72362[[#This Row],[&lt; 2]:[&gt;12]])</f>
        <v>0</v>
      </c>
      <c r="I58" s="29">
        <f>SUM(Table72362[[#This Row],[VP - 1]:[VP - 54]])</f>
        <v>0</v>
      </c>
      <c r="J58" s="80" t="str">
        <f>IFERROR(VLOOKUP(Table72362[[#This Row],[Species]],'VP1'!$C:$I,7,FALSE),"")</f>
        <v/>
      </c>
      <c r="K58" s="61" t="str">
        <f>IFERROR(VLOOKUP(Table72362[[#This Row],[Species]],'VP2'!$C:$I,7,FALSE),"")</f>
        <v/>
      </c>
      <c r="L58" s="61"/>
      <c r="M58" s="61"/>
      <c r="N58" s="61"/>
      <c r="O58" s="61"/>
      <c r="P58" s="86"/>
      <c r="Q58" s="90"/>
      <c r="R58" s="90"/>
      <c r="S58" s="90"/>
      <c r="T58" s="90"/>
      <c r="U58" s="96"/>
      <c r="V58" s="96"/>
      <c r="W58" s="96"/>
      <c r="X58" s="121"/>
      <c r="Y58" s="121"/>
      <c r="Z58" s="121"/>
      <c r="AA58" s="96"/>
      <c r="AB58" s="96"/>
      <c r="AC58" s="96"/>
      <c r="AD58" s="96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61"/>
      <c r="AR58" s="61"/>
      <c r="AS58" s="61"/>
      <c r="AT58" s="61"/>
      <c r="AU58" s="61"/>
      <c r="AV58" s="61"/>
      <c r="AW58" s="61"/>
      <c r="AX58" s="61"/>
      <c r="AY58" s="61"/>
      <c r="AZ58" s="61"/>
      <c r="BA58" s="61"/>
      <c r="BB58" s="61"/>
      <c r="BC58" s="107"/>
      <c r="BD58" s="61"/>
      <c r="BE58" s="61"/>
      <c r="BF58" s="61"/>
      <c r="BG58" s="61"/>
      <c r="BH58" s="61"/>
      <c r="BI58" s="61"/>
      <c r="BJ58" s="61"/>
      <c r="BK58" s="61"/>
    </row>
    <row r="59" spans="1:63" ht="15" thickBot="1" x14ac:dyDescent="0.4">
      <c r="A59" s="73" t="s">
        <v>136</v>
      </c>
      <c r="B59" s="48" t="e">
        <f t="shared" si="1"/>
        <v>#DIV/0!</v>
      </c>
      <c r="C59" s="79"/>
      <c r="D59" s="36"/>
      <c r="E59" s="36"/>
      <c r="F59" s="36"/>
      <c r="G59" s="36"/>
      <c r="H59" s="46">
        <f>SUM(Table72362[[#This Row],[&lt; 2]:[&gt;12]])</f>
        <v>0</v>
      </c>
      <c r="I59" s="38">
        <f>SUM(Table72362[[#This Row],[VP - 1]:[VP - 54]])</f>
        <v>0</v>
      </c>
      <c r="J59" s="74" t="str">
        <f>IFERROR(VLOOKUP(Table72362[[#This Row],[Species]],'VP1'!$C:$I,7,FALSE),"")</f>
        <v/>
      </c>
      <c r="K59" s="74" t="str">
        <f>IFERROR(VLOOKUP(Table72362[[#This Row],[Species]],'VP2'!$C:$I,7,FALSE),"")</f>
        <v/>
      </c>
      <c r="L59" s="74"/>
      <c r="M59" s="74"/>
      <c r="N59" s="74"/>
      <c r="O59" s="74"/>
      <c r="P59" s="88"/>
      <c r="Q59" s="66"/>
      <c r="R59" s="66"/>
      <c r="S59" s="66"/>
      <c r="T59" s="66"/>
      <c r="U59" s="66"/>
      <c r="V59" s="66"/>
      <c r="W59" s="66"/>
      <c r="X59" s="122"/>
      <c r="Y59" s="122"/>
      <c r="Z59" s="122"/>
      <c r="AA59" s="66"/>
      <c r="AB59" s="66"/>
      <c r="AC59" s="66"/>
      <c r="AD59" s="66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74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116"/>
      <c r="BD59" s="74"/>
      <c r="BE59" s="74"/>
      <c r="BF59" s="74"/>
      <c r="BG59" s="74"/>
      <c r="BH59" s="74"/>
      <c r="BI59" s="74"/>
      <c r="BJ59" s="74"/>
      <c r="BK59" s="74"/>
    </row>
    <row r="60" spans="1:63" s="6" customFormat="1" ht="15" thickBot="1" x14ac:dyDescent="0.4">
      <c r="A60" s="73" t="s">
        <v>123</v>
      </c>
      <c r="B60" s="48" t="e">
        <f t="shared" si="1"/>
        <v>#DIV/0!</v>
      </c>
      <c r="C60" s="79"/>
      <c r="D60" s="36"/>
      <c r="E60" s="36"/>
      <c r="F60" s="36"/>
      <c r="G60" s="36"/>
      <c r="H60" s="46">
        <f>SUM(Table72362[[#This Row],[&lt; 2]:[&gt;12]])</f>
        <v>0</v>
      </c>
      <c r="I60" s="38">
        <f>SUM(Table72362[[#This Row],[VP - 1]:[VP - 54]])</f>
        <v>0</v>
      </c>
      <c r="J60" s="74" t="str">
        <f>IFERROR(VLOOKUP(Table72362[[#This Row],[Species]],'VP1'!$C:$I,7,FALSE),"")</f>
        <v/>
      </c>
      <c r="K60" s="74" t="str">
        <f>IFERROR(VLOOKUP(Table72362[[#This Row],[Species]],'VP2'!$C:$I,7,FALSE),"")</f>
        <v/>
      </c>
      <c r="L60" s="74"/>
      <c r="M60" s="74"/>
      <c r="N60" s="74"/>
      <c r="O60" s="74"/>
      <c r="P60" s="88"/>
      <c r="Q60" s="66"/>
      <c r="R60" s="66"/>
      <c r="S60" s="66"/>
      <c r="T60" s="66"/>
      <c r="U60" s="66"/>
      <c r="V60" s="66"/>
      <c r="W60" s="66"/>
      <c r="X60" s="122"/>
      <c r="Y60" s="122"/>
      <c r="Z60" s="122"/>
      <c r="AA60" s="66"/>
      <c r="AB60" s="66"/>
      <c r="AC60" s="66"/>
      <c r="AD60" s="66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116"/>
      <c r="BD60" s="74"/>
      <c r="BE60" s="74"/>
      <c r="BF60" s="74"/>
      <c r="BG60" s="74"/>
      <c r="BH60" s="74"/>
      <c r="BI60" s="74"/>
      <c r="BJ60" s="74"/>
      <c r="BK60" s="74"/>
    </row>
    <row r="61" spans="1:63" s="6" customFormat="1" ht="15" thickBot="1" x14ac:dyDescent="0.4">
      <c r="A61" s="104" t="s">
        <v>133</v>
      </c>
      <c r="B61" s="28" t="e">
        <f t="shared" si="1"/>
        <v>#DIV/0!</v>
      </c>
      <c r="C61" s="105"/>
      <c r="D61" s="106"/>
      <c r="E61" s="106"/>
      <c r="F61" s="106"/>
      <c r="G61" s="106"/>
      <c r="H61" s="114">
        <f>SUM(Table72362[[#This Row],[&lt; 2]:[&gt;12]])</f>
        <v>0</v>
      </c>
      <c r="I61" s="29">
        <f>SUM(Table72362[[#This Row],[VP - 1]:[VP - 54]])</f>
        <v>0</v>
      </c>
      <c r="J61" s="87" t="str">
        <f>IFERROR(VLOOKUP(Table72362[[#This Row],[Species]],'VP1'!$C:$I,7,FALSE),"")</f>
        <v/>
      </c>
      <c r="K61" s="87" t="str">
        <f>IFERROR(VLOOKUP(Table72362[[#This Row],[Species]],'VP2'!$C:$I,7,FALSE),"")</f>
        <v/>
      </c>
      <c r="L61" s="87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91"/>
      <c r="Y61" s="91"/>
      <c r="Z61" s="91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1"/>
      <c r="AR61" s="61"/>
      <c r="AS61" s="61"/>
      <c r="AT61" s="61"/>
      <c r="AU61" s="61"/>
      <c r="AV61" s="61"/>
      <c r="AW61" s="61"/>
      <c r="AX61" s="61"/>
      <c r="AY61" s="61"/>
      <c r="AZ61" s="61"/>
      <c r="BA61" s="61"/>
      <c r="BB61" s="61"/>
      <c r="BC61" s="107"/>
      <c r="BD61" s="61"/>
      <c r="BE61" s="61"/>
      <c r="BF61" s="61"/>
      <c r="BG61" s="61"/>
      <c r="BH61" s="61"/>
      <c r="BI61" s="61"/>
      <c r="BJ61" s="61"/>
      <c r="BK61" s="61"/>
    </row>
    <row r="62" spans="1:63" ht="15" thickBot="1" x14ac:dyDescent="0.4">
      <c r="A62" s="32" t="s">
        <v>7</v>
      </c>
      <c r="B62" s="45"/>
      <c r="C62" s="5">
        <f t="shared" ref="C62:G62" si="2">SUM(C3:C55)</f>
        <v>0</v>
      </c>
      <c r="D62" s="5">
        <f t="shared" si="2"/>
        <v>0</v>
      </c>
      <c r="E62" s="5">
        <f t="shared" si="2"/>
        <v>0</v>
      </c>
      <c r="F62" s="5">
        <f t="shared" si="2"/>
        <v>0</v>
      </c>
      <c r="G62" s="5">
        <f t="shared" si="2"/>
        <v>0</v>
      </c>
      <c r="H62" s="5">
        <f>SUM(H3:H61)</f>
        <v>0</v>
      </c>
      <c r="I62" s="18">
        <f>SUM(I5:I61)</f>
        <v>0</v>
      </c>
      <c r="J62" s="16">
        <f>SUM(Table72362[VP - 1])</f>
        <v>0</v>
      </c>
      <c r="K62" s="16">
        <f>SUM(Table72362[VP - 2])</f>
        <v>0</v>
      </c>
      <c r="L62" s="16">
        <f>SUM(Table72362[VP - 3])</f>
        <v>0</v>
      </c>
      <c r="M62" s="16">
        <f>SUM(Table72362[VP - 4])</f>
        <v>0</v>
      </c>
      <c r="N62" s="16">
        <f>SUM(Table72362[VP - 5])</f>
        <v>0</v>
      </c>
      <c r="O62" s="16">
        <f>SUM(Table72362[VP - 6])</f>
        <v>0</v>
      </c>
      <c r="P62" s="16">
        <f>SUM(Table72362[VP - 7])</f>
        <v>0</v>
      </c>
      <c r="Q62" s="16">
        <f>SUM(Table72362[VP - 8])</f>
        <v>0</v>
      </c>
      <c r="R62" s="16">
        <f>SUM(Table72362[VP - 9])</f>
        <v>0</v>
      </c>
      <c r="S62" s="16">
        <f>SUM(Table72362[VP - 10])</f>
        <v>0</v>
      </c>
      <c r="T62" s="16">
        <f>SUM(Table72362[VP - 11])</f>
        <v>0</v>
      </c>
      <c r="U62" s="16">
        <f>SUM(Table72362[VP - 12])</f>
        <v>0</v>
      </c>
      <c r="V62" s="16">
        <f>SUM(Table72362[VP - 13])</f>
        <v>0</v>
      </c>
      <c r="W62" s="16">
        <f>SUM(Table72362[VP - 14])</f>
        <v>0</v>
      </c>
      <c r="X62" s="16">
        <f>SUM(Table72362[VP - 15])</f>
        <v>0</v>
      </c>
      <c r="Y62" s="16">
        <f>SUM(Table72362[VP - 16])</f>
        <v>0</v>
      </c>
      <c r="Z62" s="16">
        <f>SUM(Table72362[VP - 17])</f>
        <v>0</v>
      </c>
      <c r="AA62" s="16">
        <f>SUM(Table72362[VP - 18])</f>
        <v>0</v>
      </c>
      <c r="AB62" s="16">
        <f>SUM(Table72362[VP - 19])</f>
        <v>0</v>
      </c>
      <c r="AC62" s="16">
        <f>SUM(Table72362[VP - 20])</f>
        <v>0</v>
      </c>
      <c r="AD62" s="16">
        <f>SUM(Table72362[VP - 21])</f>
        <v>0</v>
      </c>
      <c r="AE62" s="16">
        <f>SUM(Table72362[VP - 22])</f>
        <v>0</v>
      </c>
      <c r="AF62" s="16">
        <f>SUM(Table72362[VP - 23])</f>
        <v>0</v>
      </c>
      <c r="AG62" s="16">
        <f>SUM(Table72362[VP - 24])</f>
        <v>0</v>
      </c>
      <c r="AH62" s="16">
        <f>SUM(Table72362[VP - 25])</f>
        <v>0</v>
      </c>
      <c r="AI62" s="16">
        <f>SUM(Table72362[VP - 26])</f>
        <v>0</v>
      </c>
      <c r="AJ62" s="16">
        <f>SUM(Table72362[VP - 27])</f>
        <v>0</v>
      </c>
      <c r="AK62" s="16">
        <f>SUM(Table72362[VP - 28])</f>
        <v>0</v>
      </c>
      <c r="AL62" s="16">
        <f>SUM(Table72362[VP - 29])</f>
        <v>0</v>
      </c>
      <c r="AM62" s="16">
        <f>SUM(Table72362[VP - 30])</f>
        <v>0</v>
      </c>
      <c r="AN62" s="16">
        <f>SUM(Table72362[VP - 31])</f>
        <v>0</v>
      </c>
      <c r="AO62" s="16">
        <f>SUM(Table72362[VP -32])</f>
        <v>0</v>
      </c>
      <c r="AP62" s="16">
        <f>SUM(Table72362[VP -33])</f>
        <v>0</v>
      </c>
      <c r="AQ62" s="16">
        <f>SUM(Table72362[VP - 34])</f>
        <v>0</v>
      </c>
      <c r="AR62" s="16">
        <f>SUM(Table72362[VP - 35])</f>
        <v>0</v>
      </c>
      <c r="AS62" s="16">
        <f>SUM(Table72362[VP - 36])</f>
        <v>0</v>
      </c>
      <c r="AT62" s="16">
        <f>SUM(Table72362[VP - 37])</f>
        <v>0</v>
      </c>
      <c r="AU62" s="16">
        <f>SUM(Table72362[VP - 38])</f>
        <v>0</v>
      </c>
      <c r="AV62" s="16">
        <f>SUM(Table72362[VP -39])</f>
        <v>0</v>
      </c>
      <c r="AW62" s="16">
        <f>SUM(Table72362[VP - 40])</f>
        <v>0</v>
      </c>
      <c r="AX62" s="16">
        <f>SUM(Table72362[VP - 41])</f>
        <v>0</v>
      </c>
      <c r="AY62" s="16">
        <f>SUM(Table72362[VP - 42])</f>
        <v>0</v>
      </c>
      <c r="AZ62" s="16">
        <f>SUM(Table72362[VP - 43])</f>
        <v>0</v>
      </c>
      <c r="BA62" s="16">
        <f>SUM(Table72362[VP - 44])</f>
        <v>0</v>
      </c>
      <c r="BB62" s="16">
        <f>SUM(Table72362[VP - 45])</f>
        <v>0</v>
      </c>
      <c r="BC62" s="16">
        <f>SUM(Table72362[VP - 46])</f>
        <v>0</v>
      </c>
      <c r="BD62" s="16">
        <f>SUM(Table72362[VP - 47])</f>
        <v>0</v>
      </c>
      <c r="BE62" s="16">
        <f>SUM(Table72362[VP - 48])</f>
        <v>0</v>
      </c>
      <c r="BF62" s="16">
        <f>SUM(Table72362[VP - 49])</f>
        <v>0</v>
      </c>
      <c r="BG62" s="16">
        <f>SUM(Table72362[VP - 50])</f>
        <v>0</v>
      </c>
      <c r="BH62" s="16">
        <f>SUM(Table72362[VP - 51])</f>
        <v>0</v>
      </c>
      <c r="BI62" s="16">
        <f>SUM(Table72362[VP - 52])</f>
        <v>0</v>
      </c>
      <c r="BJ62" s="16">
        <f>SUM(Table72362[VP - 53])</f>
        <v>0</v>
      </c>
      <c r="BK62" s="16">
        <f>SUM(Table72362[VP - 54])</f>
        <v>0</v>
      </c>
    </row>
    <row r="63" spans="1:63" ht="15" thickBot="1" x14ac:dyDescent="0.4">
      <c r="A63" s="32" t="s">
        <v>8</v>
      </c>
      <c r="B63" s="45"/>
      <c r="C63" s="140" t="e">
        <f>C62/$H$62</f>
        <v>#DIV/0!</v>
      </c>
      <c r="D63" s="140" t="e">
        <f t="shared" ref="D63:G63" si="3">D62/$H$62</f>
        <v>#DIV/0!</v>
      </c>
      <c r="E63" s="140" t="e">
        <f t="shared" si="3"/>
        <v>#DIV/0!</v>
      </c>
      <c r="F63" s="140" t="e">
        <f t="shared" si="3"/>
        <v>#DIV/0!</v>
      </c>
      <c r="G63" s="140" t="e">
        <f t="shared" si="3"/>
        <v>#DIV/0!</v>
      </c>
      <c r="H63" s="140" t="e">
        <f>SUM(C63:G63)</f>
        <v>#DIV/0!</v>
      </c>
      <c r="AY63" s="4"/>
      <c r="BD63" s="6"/>
      <c r="BE63" s="6"/>
      <c r="BF63" s="6"/>
      <c r="BG63" s="6"/>
      <c r="BH63" s="6"/>
      <c r="BI63" s="6"/>
      <c r="BJ63" s="6"/>
      <c r="BK63" s="6"/>
    </row>
    <row r="64" spans="1:63" ht="15" thickBot="1" x14ac:dyDescent="0.4">
      <c r="B64" s="1"/>
      <c r="F64" s="187" t="s">
        <v>51</v>
      </c>
      <c r="G64" s="188"/>
      <c r="H64" s="188"/>
      <c r="I64" s="188"/>
      <c r="J64" s="19">
        <f>SUM(J5:J61)</f>
        <v>0</v>
      </c>
      <c r="K64" s="19">
        <f t="shared" ref="K64:BK64" si="4">SUM(K5:K61)</f>
        <v>0</v>
      </c>
      <c r="L64" s="19">
        <f t="shared" si="4"/>
        <v>0</v>
      </c>
      <c r="M64" s="19">
        <f t="shared" si="4"/>
        <v>0</v>
      </c>
      <c r="N64" s="19">
        <f t="shared" si="4"/>
        <v>0</v>
      </c>
      <c r="O64" s="19">
        <f t="shared" si="4"/>
        <v>0</v>
      </c>
      <c r="P64" s="19">
        <f t="shared" si="4"/>
        <v>0</v>
      </c>
      <c r="Q64" s="19">
        <f t="shared" si="4"/>
        <v>0</v>
      </c>
      <c r="R64" s="19">
        <f t="shared" si="4"/>
        <v>0</v>
      </c>
      <c r="S64" s="19">
        <f t="shared" si="4"/>
        <v>0</v>
      </c>
      <c r="T64" s="19">
        <f t="shared" si="4"/>
        <v>0</v>
      </c>
      <c r="U64" s="19">
        <f t="shared" si="4"/>
        <v>0</v>
      </c>
      <c r="V64" s="19">
        <f t="shared" si="4"/>
        <v>0</v>
      </c>
      <c r="W64" s="19">
        <f t="shared" si="4"/>
        <v>0</v>
      </c>
      <c r="X64" s="19">
        <f t="shared" si="4"/>
        <v>0</v>
      </c>
      <c r="Y64" s="19">
        <f t="shared" si="4"/>
        <v>0</v>
      </c>
      <c r="Z64" s="19">
        <f t="shared" si="4"/>
        <v>0</v>
      </c>
      <c r="AA64" s="19">
        <f t="shared" si="4"/>
        <v>0</v>
      </c>
      <c r="AB64" s="19">
        <f t="shared" si="4"/>
        <v>0</v>
      </c>
      <c r="AC64" s="19">
        <f t="shared" si="4"/>
        <v>0</v>
      </c>
      <c r="AD64" s="19">
        <f t="shared" si="4"/>
        <v>0</v>
      </c>
      <c r="AE64" s="19">
        <f t="shared" si="4"/>
        <v>0</v>
      </c>
      <c r="AF64" s="19">
        <f t="shared" si="4"/>
        <v>0</v>
      </c>
      <c r="AG64" s="19">
        <f t="shared" si="4"/>
        <v>0</v>
      </c>
      <c r="AH64" s="19">
        <f t="shared" si="4"/>
        <v>0</v>
      </c>
      <c r="AI64" s="19">
        <f t="shared" si="4"/>
        <v>0</v>
      </c>
      <c r="AJ64" s="19">
        <f t="shared" si="4"/>
        <v>0</v>
      </c>
      <c r="AK64" s="19">
        <f t="shared" si="4"/>
        <v>0</v>
      </c>
      <c r="AL64" s="19">
        <f t="shared" si="4"/>
        <v>0</v>
      </c>
      <c r="AM64" s="19">
        <f t="shared" si="4"/>
        <v>0</v>
      </c>
      <c r="AN64" s="19">
        <f t="shared" si="4"/>
        <v>0</v>
      </c>
      <c r="AO64" s="19">
        <f t="shared" si="4"/>
        <v>0</v>
      </c>
      <c r="AP64" s="19">
        <f t="shared" si="4"/>
        <v>0</v>
      </c>
      <c r="AQ64" s="19">
        <f t="shared" si="4"/>
        <v>0</v>
      </c>
      <c r="AR64" s="19">
        <f t="shared" si="4"/>
        <v>0</v>
      </c>
      <c r="AS64" s="19">
        <f t="shared" si="4"/>
        <v>0</v>
      </c>
      <c r="AT64" s="19">
        <f t="shared" si="4"/>
        <v>0</v>
      </c>
      <c r="AU64" s="19">
        <f t="shared" si="4"/>
        <v>0</v>
      </c>
      <c r="AV64" s="19">
        <f t="shared" si="4"/>
        <v>0</v>
      </c>
      <c r="AW64" s="19">
        <f t="shared" si="4"/>
        <v>0</v>
      </c>
      <c r="AX64" s="19">
        <f t="shared" si="4"/>
        <v>0</v>
      </c>
      <c r="AY64" s="19">
        <f t="shared" si="4"/>
        <v>0</v>
      </c>
      <c r="AZ64" s="19">
        <f t="shared" si="4"/>
        <v>0</v>
      </c>
      <c r="BA64" s="19">
        <f t="shared" si="4"/>
        <v>0</v>
      </c>
      <c r="BB64" s="19">
        <f t="shared" si="4"/>
        <v>0</v>
      </c>
      <c r="BC64" s="19">
        <f t="shared" si="4"/>
        <v>0</v>
      </c>
      <c r="BD64" s="19">
        <f t="shared" si="4"/>
        <v>0</v>
      </c>
      <c r="BE64" s="19">
        <f t="shared" si="4"/>
        <v>0</v>
      </c>
      <c r="BF64" s="19">
        <f t="shared" si="4"/>
        <v>0</v>
      </c>
      <c r="BG64" s="19">
        <f t="shared" si="4"/>
        <v>0</v>
      </c>
      <c r="BH64" s="19">
        <f t="shared" si="4"/>
        <v>0</v>
      </c>
      <c r="BI64" s="19">
        <f t="shared" si="4"/>
        <v>0</v>
      </c>
      <c r="BJ64" s="19">
        <f t="shared" si="4"/>
        <v>0</v>
      </c>
      <c r="BK64" s="19">
        <f t="shared" si="4"/>
        <v>0</v>
      </c>
    </row>
    <row r="65" spans="1:63" ht="15" thickBot="1" x14ac:dyDescent="0.4">
      <c r="B65" s="47" t="e">
        <f>SUM(Table72362[Percent])</f>
        <v>#DIV/0!</v>
      </c>
      <c r="F65" s="189" t="s">
        <v>53</v>
      </c>
      <c r="G65" s="190"/>
      <c r="H65" s="190"/>
      <c r="I65" s="191"/>
      <c r="J65" s="26">
        <f>J64*50</f>
        <v>0</v>
      </c>
      <c r="K65" s="26">
        <f t="shared" ref="K65:AB65" si="5">K64*50</f>
        <v>0</v>
      </c>
      <c r="L65" s="26">
        <f t="shared" si="5"/>
        <v>0</v>
      </c>
      <c r="M65" s="26">
        <f t="shared" si="5"/>
        <v>0</v>
      </c>
      <c r="N65" s="26">
        <f t="shared" si="5"/>
        <v>0</v>
      </c>
      <c r="O65" s="26">
        <f t="shared" si="5"/>
        <v>0</v>
      </c>
      <c r="P65" s="26">
        <f t="shared" si="5"/>
        <v>0</v>
      </c>
      <c r="Q65" s="26">
        <f t="shared" si="5"/>
        <v>0</v>
      </c>
      <c r="R65" s="26">
        <f t="shared" si="5"/>
        <v>0</v>
      </c>
      <c r="S65" s="26">
        <f t="shared" si="5"/>
        <v>0</v>
      </c>
      <c r="T65" s="26">
        <f t="shared" si="5"/>
        <v>0</v>
      </c>
      <c r="U65" s="26">
        <f t="shared" si="5"/>
        <v>0</v>
      </c>
      <c r="V65" s="26">
        <f t="shared" si="5"/>
        <v>0</v>
      </c>
      <c r="W65" s="26">
        <f t="shared" si="5"/>
        <v>0</v>
      </c>
      <c r="X65" s="26">
        <f t="shared" si="5"/>
        <v>0</v>
      </c>
      <c r="Y65" s="26">
        <f t="shared" si="5"/>
        <v>0</v>
      </c>
      <c r="Z65" s="26">
        <f t="shared" si="5"/>
        <v>0</v>
      </c>
      <c r="AA65" s="26">
        <f t="shared" si="5"/>
        <v>0</v>
      </c>
      <c r="AB65" s="26">
        <f t="shared" si="5"/>
        <v>0</v>
      </c>
      <c r="AC65" s="26">
        <f>AC64*50</f>
        <v>0</v>
      </c>
      <c r="AD65" s="26">
        <f t="shared" ref="AD65:BK65" si="6">AD64*50</f>
        <v>0</v>
      </c>
      <c r="AE65" s="26">
        <f t="shared" si="6"/>
        <v>0</v>
      </c>
      <c r="AF65" s="26">
        <f t="shared" si="6"/>
        <v>0</v>
      </c>
      <c r="AG65" s="26">
        <f t="shared" si="6"/>
        <v>0</v>
      </c>
      <c r="AH65" s="26">
        <f t="shared" si="6"/>
        <v>0</v>
      </c>
      <c r="AI65" s="26">
        <f t="shared" si="6"/>
        <v>0</v>
      </c>
      <c r="AJ65" s="26">
        <f t="shared" si="6"/>
        <v>0</v>
      </c>
      <c r="AK65" s="26">
        <f t="shared" si="6"/>
        <v>0</v>
      </c>
      <c r="AL65" s="26">
        <f t="shared" si="6"/>
        <v>0</v>
      </c>
      <c r="AM65" s="26">
        <f t="shared" si="6"/>
        <v>0</v>
      </c>
      <c r="AN65" s="26">
        <f t="shared" si="6"/>
        <v>0</v>
      </c>
      <c r="AO65" s="26">
        <f t="shared" si="6"/>
        <v>0</v>
      </c>
      <c r="AP65" s="26">
        <f t="shared" si="6"/>
        <v>0</v>
      </c>
      <c r="AQ65" s="26">
        <f t="shared" si="6"/>
        <v>0</v>
      </c>
      <c r="AR65" s="26">
        <f t="shared" si="6"/>
        <v>0</v>
      </c>
      <c r="AS65" s="26">
        <f t="shared" si="6"/>
        <v>0</v>
      </c>
      <c r="AT65" s="26">
        <f t="shared" si="6"/>
        <v>0</v>
      </c>
      <c r="AU65" s="26">
        <f t="shared" si="6"/>
        <v>0</v>
      </c>
      <c r="AV65" s="26">
        <f t="shared" si="6"/>
        <v>0</v>
      </c>
      <c r="AW65" s="26">
        <f t="shared" si="6"/>
        <v>0</v>
      </c>
      <c r="AX65" s="26">
        <f t="shared" si="6"/>
        <v>0</v>
      </c>
      <c r="AY65" s="26">
        <f t="shared" si="6"/>
        <v>0</v>
      </c>
      <c r="AZ65" s="26">
        <f t="shared" si="6"/>
        <v>0</v>
      </c>
      <c r="BA65" s="26">
        <f t="shared" si="6"/>
        <v>0</v>
      </c>
      <c r="BB65" s="26">
        <f t="shared" si="6"/>
        <v>0</v>
      </c>
      <c r="BC65" s="44">
        <f t="shared" si="6"/>
        <v>0</v>
      </c>
      <c r="BD65" s="26">
        <f t="shared" si="6"/>
        <v>0</v>
      </c>
      <c r="BE65" s="26">
        <f t="shared" si="6"/>
        <v>0</v>
      </c>
      <c r="BF65" s="26">
        <f t="shared" si="6"/>
        <v>0</v>
      </c>
      <c r="BG65" s="26">
        <f t="shared" si="6"/>
        <v>0</v>
      </c>
      <c r="BH65" s="26">
        <f t="shared" si="6"/>
        <v>0</v>
      </c>
      <c r="BI65" s="26">
        <f t="shared" si="6"/>
        <v>0</v>
      </c>
      <c r="BJ65" s="26">
        <f t="shared" si="6"/>
        <v>0</v>
      </c>
      <c r="BK65" s="26">
        <f t="shared" si="6"/>
        <v>0</v>
      </c>
    </row>
    <row r="66" spans="1:63" ht="15" thickBot="1" x14ac:dyDescent="0.4">
      <c r="B66" s="1"/>
      <c r="F66" s="192" t="s">
        <v>50</v>
      </c>
      <c r="G66" s="190"/>
      <c r="H66" s="190"/>
      <c r="I66" s="191"/>
      <c r="J66" s="27">
        <f>SUM(J6,J7,J8,J10,J11,J12,J13,J14,J15,J18,J20,J21,J23,J26,J27,J30,J33,J36,J37,J38,J39,J40,J41,J42,J43,J45,J46,J51,J53,J55,J56,J57,J59,J60)</f>
        <v>0</v>
      </c>
      <c r="K66" s="27">
        <f t="shared" ref="K66:BK66" si="7">SUM(K6,K7,K8,K10,K11,K12,K13,K14,K15,K18,K20,K21,K23,K26,K27,K30,K33,K36,K37,K38,K39,K40,K41,K42,K43,K45,K46,K51,K53,K55,K56,K57,K59,K60)</f>
        <v>0</v>
      </c>
      <c r="L66" s="27">
        <f t="shared" si="7"/>
        <v>0</v>
      </c>
      <c r="M66" s="27">
        <f t="shared" si="7"/>
        <v>0</v>
      </c>
      <c r="N66" s="27">
        <f t="shared" si="7"/>
        <v>0</v>
      </c>
      <c r="O66" s="27">
        <f t="shared" si="7"/>
        <v>0</v>
      </c>
      <c r="P66" s="27">
        <f t="shared" si="7"/>
        <v>0</v>
      </c>
      <c r="Q66" s="27">
        <f t="shared" si="7"/>
        <v>0</v>
      </c>
      <c r="R66" s="27">
        <f t="shared" si="7"/>
        <v>0</v>
      </c>
      <c r="S66" s="27">
        <f t="shared" si="7"/>
        <v>0</v>
      </c>
      <c r="T66" s="27">
        <f t="shared" si="7"/>
        <v>0</v>
      </c>
      <c r="U66" s="27">
        <f t="shared" si="7"/>
        <v>0</v>
      </c>
      <c r="V66" s="27">
        <f t="shared" si="7"/>
        <v>0</v>
      </c>
      <c r="W66" s="27">
        <f t="shared" si="7"/>
        <v>0</v>
      </c>
      <c r="X66" s="27">
        <f t="shared" si="7"/>
        <v>0</v>
      </c>
      <c r="Y66" s="27">
        <f t="shared" si="7"/>
        <v>0</v>
      </c>
      <c r="Z66" s="27">
        <f t="shared" si="7"/>
        <v>0</v>
      </c>
      <c r="AA66" s="27">
        <f t="shared" si="7"/>
        <v>0</v>
      </c>
      <c r="AB66" s="27">
        <f t="shared" si="7"/>
        <v>0</v>
      </c>
      <c r="AC66" s="27">
        <f t="shared" si="7"/>
        <v>0</v>
      </c>
      <c r="AD66" s="27">
        <f t="shared" si="7"/>
        <v>0</v>
      </c>
      <c r="AE66" s="27">
        <f t="shared" si="7"/>
        <v>0</v>
      </c>
      <c r="AF66" s="27">
        <f t="shared" si="7"/>
        <v>0</v>
      </c>
      <c r="AG66" s="27">
        <f t="shared" si="7"/>
        <v>0</v>
      </c>
      <c r="AH66" s="27">
        <f t="shared" si="7"/>
        <v>0</v>
      </c>
      <c r="AI66" s="27">
        <f t="shared" si="7"/>
        <v>0</v>
      </c>
      <c r="AJ66" s="27">
        <f t="shared" si="7"/>
        <v>0</v>
      </c>
      <c r="AK66" s="27">
        <f t="shared" si="7"/>
        <v>0</v>
      </c>
      <c r="AL66" s="27">
        <f t="shared" si="7"/>
        <v>0</v>
      </c>
      <c r="AM66" s="27">
        <f t="shared" si="7"/>
        <v>0</v>
      </c>
      <c r="AN66" s="27">
        <f t="shared" si="7"/>
        <v>0</v>
      </c>
      <c r="AO66" s="27">
        <f t="shared" si="7"/>
        <v>0</v>
      </c>
      <c r="AP66" s="27">
        <f t="shared" si="7"/>
        <v>0</v>
      </c>
      <c r="AQ66" s="27">
        <f t="shared" si="7"/>
        <v>0</v>
      </c>
      <c r="AR66" s="27">
        <f t="shared" si="7"/>
        <v>0</v>
      </c>
      <c r="AS66" s="27">
        <f t="shared" si="7"/>
        <v>0</v>
      </c>
      <c r="AT66" s="27">
        <f t="shared" si="7"/>
        <v>0</v>
      </c>
      <c r="AU66" s="27">
        <f t="shared" si="7"/>
        <v>0</v>
      </c>
      <c r="AV66" s="27">
        <f t="shared" si="7"/>
        <v>0</v>
      </c>
      <c r="AW66" s="27">
        <f t="shared" si="7"/>
        <v>0</v>
      </c>
      <c r="AX66" s="27">
        <f t="shared" si="7"/>
        <v>0</v>
      </c>
      <c r="AY66" s="27">
        <f t="shared" si="7"/>
        <v>0</v>
      </c>
      <c r="AZ66" s="27">
        <f t="shared" si="7"/>
        <v>0</v>
      </c>
      <c r="BA66" s="27">
        <f t="shared" si="7"/>
        <v>0</v>
      </c>
      <c r="BB66" s="27">
        <f t="shared" si="7"/>
        <v>0</v>
      </c>
      <c r="BC66" s="27">
        <f t="shared" si="7"/>
        <v>0</v>
      </c>
      <c r="BD66" s="27">
        <f t="shared" si="7"/>
        <v>0</v>
      </c>
      <c r="BE66" s="27">
        <f t="shared" si="7"/>
        <v>0</v>
      </c>
      <c r="BF66" s="27">
        <f t="shared" si="7"/>
        <v>0</v>
      </c>
      <c r="BG66" s="27">
        <f t="shared" si="7"/>
        <v>0</v>
      </c>
      <c r="BH66" s="27">
        <f t="shared" si="7"/>
        <v>0</v>
      </c>
      <c r="BI66" s="27">
        <f t="shared" si="7"/>
        <v>0</v>
      </c>
      <c r="BJ66" s="27">
        <f t="shared" si="7"/>
        <v>0</v>
      </c>
      <c r="BK66" s="27">
        <f t="shared" si="7"/>
        <v>0</v>
      </c>
    </row>
    <row r="67" spans="1:63" ht="15" thickBot="1" x14ac:dyDescent="0.4">
      <c r="F67" s="192" t="s">
        <v>52</v>
      </c>
      <c r="G67" s="190"/>
      <c r="H67" s="190"/>
      <c r="I67" s="191"/>
      <c r="J67" s="26">
        <f>J66*50</f>
        <v>0</v>
      </c>
      <c r="K67" s="26">
        <f t="shared" ref="K67:BK67" si="8">K66*50</f>
        <v>0</v>
      </c>
      <c r="L67" s="26">
        <f t="shared" si="8"/>
        <v>0</v>
      </c>
      <c r="M67" s="26">
        <f t="shared" si="8"/>
        <v>0</v>
      </c>
      <c r="N67" s="26">
        <f t="shared" si="8"/>
        <v>0</v>
      </c>
      <c r="O67" s="26">
        <f t="shared" si="8"/>
        <v>0</v>
      </c>
      <c r="P67" s="26">
        <f t="shared" si="8"/>
        <v>0</v>
      </c>
      <c r="Q67" s="26">
        <f t="shared" si="8"/>
        <v>0</v>
      </c>
      <c r="R67" s="26">
        <f t="shared" si="8"/>
        <v>0</v>
      </c>
      <c r="S67" s="26">
        <f t="shared" si="8"/>
        <v>0</v>
      </c>
      <c r="T67" s="26">
        <f t="shared" si="8"/>
        <v>0</v>
      </c>
      <c r="U67" s="26">
        <f t="shared" si="8"/>
        <v>0</v>
      </c>
      <c r="V67" s="26">
        <f t="shared" si="8"/>
        <v>0</v>
      </c>
      <c r="W67" s="26">
        <f t="shared" si="8"/>
        <v>0</v>
      </c>
      <c r="X67" s="26">
        <f t="shared" si="8"/>
        <v>0</v>
      </c>
      <c r="Y67" s="26">
        <f t="shared" si="8"/>
        <v>0</v>
      </c>
      <c r="Z67" s="26">
        <f t="shared" si="8"/>
        <v>0</v>
      </c>
      <c r="AA67" s="26">
        <f t="shared" si="8"/>
        <v>0</v>
      </c>
      <c r="AB67" s="26">
        <f t="shared" si="8"/>
        <v>0</v>
      </c>
      <c r="AC67" s="26">
        <f t="shared" si="8"/>
        <v>0</v>
      </c>
      <c r="AD67" s="26">
        <f t="shared" si="8"/>
        <v>0</v>
      </c>
      <c r="AE67" s="26">
        <f t="shared" si="8"/>
        <v>0</v>
      </c>
      <c r="AF67" s="26">
        <f t="shared" si="8"/>
        <v>0</v>
      </c>
      <c r="AG67" s="26">
        <f t="shared" si="8"/>
        <v>0</v>
      </c>
      <c r="AH67" s="26">
        <f t="shared" si="8"/>
        <v>0</v>
      </c>
      <c r="AI67" s="26">
        <f t="shared" si="8"/>
        <v>0</v>
      </c>
      <c r="AJ67" s="26">
        <f t="shared" si="8"/>
        <v>0</v>
      </c>
      <c r="AK67" s="26">
        <f t="shared" si="8"/>
        <v>0</v>
      </c>
      <c r="AL67" s="26">
        <f t="shared" si="8"/>
        <v>0</v>
      </c>
      <c r="AM67" s="26">
        <f t="shared" si="8"/>
        <v>0</v>
      </c>
      <c r="AN67" s="26">
        <f t="shared" si="8"/>
        <v>0</v>
      </c>
      <c r="AO67" s="26">
        <f t="shared" si="8"/>
        <v>0</v>
      </c>
      <c r="AP67" s="26">
        <f t="shared" si="8"/>
        <v>0</v>
      </c>
      <c r="AQ67" s="26">
        <f t="shared" si="8"/>
        <v>0</v>
      </c>
      <c r="AR67" s="26">
        <f t="shared" si="8"/>
        <v>0</v>
      </c>
      <c r="AS67" s="26">
        <f t="shared" si="8"/>
        <v>0</v>
      </c>
      <c r="AT67" s="26">
        <f t="shared" si="8"/>
        <v>0</v>
      </c>
      <c r="AU67" s="26">
        <f t="shared" si="8"/>
        <v>0</v>
      </c>
      <c r="AV67" s="26">
        <f t="shared" si="8"/>
        <v>0</v>
      </c>
      <c r="AW67" s="26">
        <f t="shared" si="8"/>
        <v>0</v>
      </c>
      <c r="AX67" s="26">
        <f t="shared" si="8"/>
        <v>0</v>
      </c>
      <c r="AY67" s="26">
        <f t="shared" si="8"/>
        <v>0</v>
      </c>
      <c r="AZ67" s="26">
        <f t="shared" si="8"/>
        <v>0</v>
      </c>
      <c r="BA67" s="26">
        <f t="shared" si="8"/>
        <v>0</v>
      </c>
      <c r="BB67" s="26">
        <f t="shared" si="8"/>
        <v>0</v>
      </c>
      <c r="BC67" s="44">
        <f t="shared" si="8"/>
        <v>0</v>
      </c>
      <c r="BD67" s="26">
        <f t="shared" si="8"/>
        <v>0</v>
      </c>
      <c r="BE67" s="26">
        <f t="shared" si="8"/>
        <v>0</v>
      </c>
      <c r="BF67" s="26">
        <f t="shared" si="8"/>
        <v>0</v>
      </c>
      <c r="BG67" s="26">
        <f t="shared" si="8"/>
        <v>0</v>
      </c>
      <c r="BH67" s="26">
        <f t="shared" si="8"/>
        <v>0</v>
      </c>
      <c r="BI67" s="26">
        <f t="shared" si="8"/>
        <v>0</v>
      </c>
      <c r="BJ67" s="26">
        <f t="shared" si="8"/>
        <v>0</v>
      </c>
      <c r="BK67" s="26">
        <f t="shared" si="8"/>
        <v>0</v>
      </c>
    </row>
    <row r="68" spans="1:63" ht="15" thickBot="1" x14ac:dyDescent="0.4">
      <c r="I68" s="2"/>
      <c r="J68" s="7"/>
      <c r="K68" s="7"/>
      <c r="L68" s="7"/>
      <c r="M68" s="7"/>
      <c r="N68" s="7"/>
      <c r="O68" s="7"/>
      <c r="P68" s="7"/>
      <c r="Q68" s="7"/>
      <c r="AZ68" s="4"/>
    </row>
    <row r="69" spans="1:63" ht="15" thickBot="1" x14ac:dyDescent="0.4">
      <c r="F69" s="195" t="s">
        <v>110</v>
      </c>
      <c r="G69" s="196"/>
      <c r="H69" s="197"/>
      <c r="I69" s="17">
        <f>I62</f>
        <v>0</v>
      </c>
      <c r="J69" s="7"/>
      <c r="K69" s="194" t="s">
        <v>54</v>
      </c>
      <c r="L69" s="194"/>
      <c r="M69" s="194"/>
      <c r="N69" s="115">
        <f>H83</f>
        <v>0</v>
      </c>
      <c r="P69" s="10"/>
      <c r="Q69" s="10"/>
      <c r="R69" s="10"/>
      <c r="S69" s="10"/>
      <c r="T69" s="10"/>
      <c r="AZ69" s="4"/>
    </row>
    <row r="70" spans="1:63" ht="15" thickBot="1" x14ac:dyDescent="0.4">
      <c r="B70" s="35" t="s">
        <v>91</v>
      </c>
      <c r="C70" s="34">
        <f>I71</f>
        <v>0</v>
      </c>
      <c r="F70" s="195" t="s">
        <v>15</v>
      </c>
      <c r="G70" s="196"/>
      <c r="H70" s="197"/>
      <c r="I70" s="17">
        <f>(I69*50)/Totalplots</f>
        <v>0</v>
      </c>
      <c r="J70" s="7"/>
      <c r="K70" s="194" t="s">
        <v>55</v>
      </c>
      <c r="L70" s="194"/>
      <c r="M70" s="194"/>
      <c r="N70" s="30" t="e">
        <f>(N69/(I69+N69))</f>
        <v>#DIV/0!</v>
      </c>
      <c r="P70" s="10"/>
      <c r="Q70" s="10"/>
      <c r="R70" s="10"/>
      <c r="S70" s="10"/>
      <c r="T70" s="10"/>
      <c r="AZ70" s="4"/>
    </row>
    <row r="71" spans="1:63" ht="15" thickBot="1" x14ac:dyDescent="0.4">
      <c r="C71" s="3"/>
      <c r="F71" s="195" t="s">
        <v>16</v>
      </c>
      <c r="G71" s="196"/>
      <c r="H71" s="197"/>
      <c r="I71" s="17">
        <f>SUM(J66:BK66)</f>
        <v>0</v>
      </c>
      <c r="J71" s="6"/>
      <c r="P71" s="10"/>
      <c r="Q71" s="10"/>
      <c r="R71" s="10"/>
      <c r="S71" s="10"/>
      <c r="T71" s="10"/>
      <c r="AZ71" s="4"/>
    </row>
    <row r="72" spans="1:63" ht="15" thickBot="1" x14ac:dyDescent="0.4">
      <c r="F72" s="195" t="s">
        <v>17</v>
      </c>
      <c r="G72" s="196"/>
      <c r="H72" s="197"/>
      <c r="I72" s="17">
        <f>(I71*50)/Totalplots</f>
        <v>0</v>
      </c>
      <c r="J72" s="6"/>
      <c r="P72" s="10"/>
      <c r="Q72" s="10"/>
      <c r="R72" s="10"/>
      <c r="S72" s="10"/>
      <c r="T72" s="10"/>
      <c r="AZ72" s="4"/>
    </row>
    <row r="75" spans="1:63" ht="19" thickBot="1" x14ac:dyDescent="0.5">
      <c r="A75" s="51" t="s">
        <v>100</v>
      </c>
      <c r="B75" s="6"/>
      <c r="C75" s="6"/>
      <c r="D75" s="6"/>
      <c r="E75" s="6"/>
      <c r="F75" s="6"/>
      <c r="G75" s="6"/>
      <c r="H75" s="6"/>
      <c r="I75" s="6"/>
      <c r="J75" s="6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63" ht="15" thickBot="1" x14ac:dyDescent="0.4">
      <c r="A76" s="52"/>
      <c r="B76" s="53"/>
      <c r="C76" s="198" t="s">
        <v>23</v>
      </c>
      <c r="D76" s="199"/>
      <c r="E76" s="199"/>
      <c r="F76" s="199"/>
      <c r="G76" s="200"/>
      <c r="H76" s="54"/>
      <c r="I76" s="16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42"/>
      <c r="BD76" s="42"/>
      <c r="BE76" s="42"/>
      <c r="BF76" s="42"/>
      <c r="BG76" s="42"/>
      <c r="BH76" s="42"/>
      <c r="BI76" s="42"/>
      <c r="BJ76" s="42"/>
      <c r="BK76" s="42"/>
    </row>
    <row r="77" spans="1:63" ht="15" thickBot="1" x14ac:dyDescent="0.4">
      <c r="A77" s="109" t="s">
        <v>131</v>
      </c>
      <c r="B77" s="109" t="s">
        <v>24</v>
      </c>
      <c r="C77" s="110" t="s">
        <v>9</v>
      </c>
      <c r="D77" s="111" t="s">
        <v>20</v>
      </c>
      <c r="E77" s="111" t="s">
        <v>21</v>
      </c>
      <c r="F77" s="111" t="s">
        <v>22</v>
      </c>
      <c r="G77" s="111" t="s">
        <v>101</v>
      </c>
      <c r="H77" s="24" t="s">
        <v>19</v>
      </c>
      <c r="I77" s="23" t="s">
        <v>25</v>
      </c>
      <c r="J77" s="24" t="s">
        <v>26</v>
      </c>
      <c r="K77" s="24" t="s">
        <v>27</v>
      </c>
      <c r="L77" s="24" t="s">
        <v>28</v>
      </c>
      <c r="M77" s="24" t="s">
        <v>29</v>
      </c>
      <c r="N77" s="24" t="s">
        <v>30</v>
      </c>
      <c r="O77" s="24" t="s">
        <v>31</v>
      </c>
      <c r="P77" s="24" t="s">
        <v>32</v>
      </c>
      <c r="Q77" s="24" t="s">
        <v>33</v>
      </c>
      <c r="R77" s="24" t="s">
        <v>34</v>
      </c>
      <c r="S77" s="24" t="s">
        <v>35</v>
      </c>
      <c r="T77" s="24" t="s">
        <v>36</v>
      </c>
      <c r="U77" s="24" t="s">
        <v>37</v>
      </c>
      <c r="V77" s="24" t="s">
        <v>38</v>
      </c>
      <c r="W77" s="24" t="s">
        <v>39</v>
      </c>
      <c r="X77" s="24" t="s">
        <v>40</v>
      </c>
      <c r="Y77" s="24" t="s">
        <v>41</v>
      </c>
      <c r="Z77" s="24" t="s">
        <v>42</v>
      </c>
      <c r="AA77" s="24" t="s">
        <v>43</v>
      </c>
      <c r="AB77" s="24" t="s">
        <v>44</v>
      </c>
      <c r="AC77" s="24" t="s">
        <v>45</v>
      </c>
      <c r="AD77" s="24" t="s">
        <v>46</v>
      </c>
      <c r="AE77" s="24" t="s">
        <v>47</v>
      </c>
      <c r="AF77" s="24" t="s">
        <v>48</v>
      </c>
      <c r="AG77" s="24" t="s">
        <v>49</v>
      </c>
      <c r="AH77" s="108" t="s">
        <v>57</v>
      </c>
      <c r="AI77" s="108" t="s">
        <v>58</v>
      </c>
      <c r="AJ77" s="108" t="s">
        <v>59</v>
      </c>
      <c r="AK77" s="108" t="s">
        <v>60</v>
      </c>
      <c r="AL77" s="108" t="s">
        <v>61</v>
      </c>
      <c r="AM77" s="108" t="s">
        <v>62</v>
      </c>
      <c r="AN77" s="108" t="s">
        <v>63</v>
      </c>
      <c r="AO77" s="108" t="s">
        <v>106</v>
      </c>
      <c r="AP77" s="108" t="s">
        <v>107</v>
      </c>
      <c r="AQ77" s="24" t="s">
        <v>66</v>
      </c>
      <c r="AR77" s="24" t="s">
        <v>67</v>
      </c>
      <c r="AS77" s="24" t="s">
        <v>68</v>
      </c>
      <c r="AT77" s="24" t="s">
        <v>69</v>
      </c>
      <c r="AU77" s="24" t="s">
        <v>70</v>
      </c>
      <c r="AV77" s="24" t="s">
        <v>108</v>
      </c>
      <c r="AW77" s="24" t="s">
        <v>72</v>
      </c>
      <c r="AX77" s="24" t="s">
        <v>73</v>
      </c>
      <c r="AY77" s="24" t="s">
        <v>74</v>
      </c>
      <c r="AZ77" s="24" t="s">
        <v>86</v>
      </c>
      <c r="BA77" s="24" t="s">
        <v>87</v>
      </c>
      <c r="BB77" s="24" t="s">
        <v>88</v>
      </c>
      <c r="BC77" s="24" t="s">
        <v>89</v>
      </c>
      <c r="BD77" s="119" t="s">
        <v>137</v>
      </c>
      <c r="BE77" s="119" t="s">
        <v>138</v>
      </c>
      <c r="BF77" s="119" t="s">
        <v>139</v>
      </c>
      <c r="BG77" s="119" t="s">
        <v>140</v>
      </c>
      <c r="BH77" s="119" t="s">
        <v>141</v>
      </c>
      <c r="BI77" s="119" t="s">
        <v>142</v>
      </c>
      <c r="BJ77" s="119" t="s">
        <v>143</v>
      </c>
      <c r="BK77" s="119" t="s">
        <v>144</v>
      </c>
    </row>
    <row r="78" spans="1:63" ht="15" thickBot="1" x14ac:dyDescent="0.4">
      <c r="A78" s="8" t="s">
        <v>104</v>
      </c>
      <c r="B78" s="28" t="e">
        <f>H78/$G$92</f>
        <v>#DIV/0!</v>
      </c>
      <c r="C78" s="50"/>
      <c r="D78" s="50"/>
      <c r="E78" s="50"/>
      <c r="F78" s="50"/>
      <c r="G78" s="50"/>
      <c r="H78" s="9">
        <f>SUM(C78:G78)</f>
        <v>0</v>
      </c>
      <c r="I78" s="29">
        <f>SUM(Table7354573[[#This Row],[VP - 1]:[VP - 54]])</f>
        <v>0</v>
      </c>
      <c r="J78" s="19" t="str">
        <f>IFERROR(VLOOKUP(Table7354573[[#This Row],[Specie]],'VP1'!$C:$I,7,FALSE),"")</f>
        <v/>
      </c>
      <c r="K78" s="19" t="str">
        <f>IFERROR(VLOOKUP(Table7354573[[#This Row],[Specie]],'VP2'!$C:$I,7,FALSE),"")</f>
        <v/>
      </c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6"/>
      <c r="AC78" s="19"/>
      <c r="AD78" s="19"/>
      <c r="AE78" s="19"/>
      <c r="AF78" s="19"/>
      <c r="AG78" s="19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118"/>
      <c r="BE78" s="118"/>
      <c r="BF78" s="118"/>
      <c r="BG78" s="118"/>
      <c r="BH78" s="118"/>
      <c r="BI78" s="118"/>
      <c r="BJ78" s="118"/>
      <c r="BK78" s="118"/>
    </row>
    <row r="79" spans="1:63" ht="15" thickBot="1" x14ac:dyDescent="0.4">
      <c r="A79" s="8" t="s">
        <v>102</v>
      </c>
      <c r="B79" s="28" t="e">
        <f>H79/$G$92</f>
        <v>#DIV/0!</v>
      </c>
      <c r="C79" s="50"/>
      <c r="D79" s="50"/>
      <c r="E79" s="50"/>
      <c r="F79" s="50"/>
      <c r="G79" s="50"/>
      <c r="H79" s="9">
        <f>SUM(C79:G79)</f>
        <v>0</v>
      </c>
      <c r="I79" s="29">
        <f>SUM(Table7354573[[#This Row],[VP - 1]:[VP - 54]])</f>
        <v>0</v>
      </c>
      <c r="J79" s="19" t="str">
        <f>IFERROR(VLOOKUP(Table7354573[[#This Row],[Specie]],'VP1'!$C:$I,7,FALSE),"")</f>
        <v/>
      </c>
      <c r="K79" s="19" t="str">
        <f>IFERROR(VLOOKUP(Table7354573[[#This Row],[Specie]],'VP2'!$C:$I,7,FALSE),"")</f>
        <v/>
      </c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6"/>
      <c r="AC79" s="19"/>
      <c r="AD79" s="19"/>
      <c r="AE79" s="19"/>
      <c r="AF79" s="19"/>
      <c r="AG79" s="19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</row>
    <row r="80" spans="1:63" ht="15" thickBot="1" x14ac:dyDescent="0.4">
      <c r="A80" s="8" t="s">
        <v>132</v>
      </c>
      <c r="B80" s="28" t="e">
        <f>H80/$G$92</f>
        <v>#DIV/0!</v>
      </c>
      <c r="C80" s="50"/>
      <c r="D80" s="50"/>
      <c r="E80" s="50"/>
      <c r="F80" s="50"/>
      <c r="G80" s="50"/>
      <c r="H80" s="9">
        <f>SUM(C80:G80)</f>
        <v>0</v>
      </c>
      <c r="I80" s="29">
        <f>SUM(Table7354573[[#This Row],[VP - 1]:[VP - 54]])</f>
        <v>0</v>
      </c>
      <c r="J80" s="19" t="str">
        <f>IFERROR(VLOOKUP(Table7354573[[#This Row],[Specie]],'VP1'!$C:$I,7,FALSE),"")</f>
        <v/>
      </c>
      <c r="K80" s="19" t="str">
        <f>IFERROR(VLOOKUP(Table7354573[[#This Row],[Specie]],'VP2'!$C:$I,7,FALSE),"")</f>
        <v/>
      </c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61"/>
      <c r="AC80" s="19"/>
      <c r="AD80" s="19"/>
      <c r="AE80" s="19"/>
      <c r="AF80" s="19"/>
      <c r="AG80" s="19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2"/>
      <c r="BE80" s="62"/>
      <c r="BF80" s="62"/>
      <c r="BG80" s="62"/>
      <c r="BH80" s="62"/>
      <c r="BI80" s="62"/>
      <c r="BJ80" s="62"/>
      <c r="BK80" s="62"/>
    </row>
    <row r="81" spans="1:63" ht="15" thickBot="1" x14ac:dyDescent="0.4">
      <c r="A81" s="8" t="s">
        <v>103</v>
      </c>
      <c r="B81" s="28" t="e">
        <f>H81/$G$92</f>
        <v>#DIV/0!</v>
      </c>
      <c r="C81" s="57"/>
      <c r="D81" s="57"/>
      <c r="E81" s="57"/>
      <c r="F81" s="57"/>
      <c r="G81" s="57"/>
      <c r="H81" s="9">
        <f>SUM(C81:G81)</f>
        <v>0</v>
      </c>
      <c r="I81" s="29">
        <f>SUM(Table7354573[[#This Row],[VP - 1]:[VP - 54]])</f>
        <v>0</v>
      </c>
      <c r="J81" s="19" t="str">
        <f>IFERROR(VLOOKUP(Table7354573[[#This Row],[Specie]],'VP1'!$C:$I,7,FALSE),"")</f>
        <v/>
      </c>
      <c r="K81" s="19" t="str">
        <f>IFERROR(VLOOKUP(Table7354573[[#This Row],[Specie]],'VP2'!$C:$I,7,FALSE),"")</f>
        <v/>
      </c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61"/>
      <c r="AC81" s="19"/>
      <c r="AD81" s="19"/>
      <c r="AE81" s="19"/>
      <c r="AF81" s="19"/>
      <c r="AG81" s="19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2"/>
      <c r="BE81" s="62"/>
      <c r="BF81" s="62"/>
      <c r="BG81" s="62"/>
      <c r="BH81" s="62"/>
      <c r="BI81" s="62"/>
      <c r="BJ81" s="62"/>
      <c r="BK81" s="62"/>
    </row>
    <row r="82" spans="1:63" ht="15" thickBot="1" x14ac:dyDescent="0.4">
      <c r="A82" s="8" t="s">
        <v>105</v>
      </c>
      <c r="B82" s="28" t="e">
        <f>H82/$G$92</f>
        <v>#DIV/0!</v>
      </c>
      <c r="C82" s="50"/>
      <c r="D82" s="50"/>
      <c r="E82" s="50"/>
      <c r="F82" s="50"/>
      <c r="G82" s="50"/>
      <c r="H82" s="9">
        <f>SUM(C82:G82)</f>
        <v>0</v>
      </c>
      <c r="I82" s="29">
        <f>SUM(Table7354573[[#This Row],[VP - 1]:[VP - 54]])</f>
        <v>0</v>
      </c>
      <c r="J82" s="19" t="str">
        <f>IFERROR(VLOOKUP(Table7354573[[#This Row],[Specie]],'VP1'!$C:$I,7,FALSE),"")</f>
        <v/>
      </c>
      <c r="K82" s="19" t="str">
        <f>IFERROR(VLOOKUP(Table7354573[[#This Row],[Specie]],'VP2'!$C:$I,7,FALSE),"")</f>
        <v/>
      </c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2"/>
      <c r="BE82" s="62"/>
      <c r="BF82" s="62"/>
      <c r="BG82" s="62"/>
      <c r="BH82" s="62"/>
      <c r="BI82" s="62"/>
      <c r="BJ82" s="62"/>
      <c r="BK82" s="62"/>
    </row>
    <row r="83" spans="1:63" ht="15" thickBot="1" x14ac:dyDescent="0.4">
      <c r="A83" s="58" t="s">
        <v>7</v>
      </c>
      <c r="B83" s="28"/>
      <c r="C83" s="59">
        <f t="shared" ref="C83:I83" si="9">SUM(C78:C82)</f>
        <v>0</v>
      </c>
      <c r="D83" s="59">
        <f t="shared" si="9"/>
        <v>0</v>
      </c>
      <c r="E83" s="59">
        <f t="shared" si="9"/>
        <v>0</v>
      </c>
      <c r="F83" s="59">
        <f t="shared" si="9"/>
        <v>0</v>
      </c>
      <c r="G83" s="59">
        <f t="shared" si="9"/>
        <v>0</v>
      </c>
      <c r="H83" s="59">
        <f t="shared" si="9"/>
        <v>0</v>
      </c>
      <c r="I83" s="29">
        <f t="shared" si="9"/>
        <v>0</v>
      </c>
      <c r="J83" s="19" t="str">
        <f>IFERROR(VLOOKUP(Table7354573[[#This Row],[Specie]],'VP1'!$C:$I,7,FALSE),"")</f>
        <v/>
      </c>
      <c r="K83" s="19" t="str">
        <f>IFERROR(VLOOKUP(Table7354573[[#This Row],[Specie]],'VP2'!$C:$I,7,FALSE),"")</f>
        <v/>
      </c>
      <c r="L83" s="120">
        <f t="shared" ref="L83:BK83" si="10">SUM(L78:L82)</f>
        <v>0</v>
      </c>
      <c r="M83" s="120">
        <f t="shared" si="10"/>
        <v>0</v>
      </c>
      <c r="N83" s="120">
        <f t="shared" si="10"/>
        <v>0</v>
      </c>
      <c r="O83" s="120">
        <f t="shared" si="10"/>
        <v>0</v>
      </c>
      <c r="P83" s="120">
        <f t="shared" si="10"/>
        <v>0</v>
      </c>
      <c r="Q83" s="120">
        <f t="shared" si="10"/>
        <v>0</v>
      </c>
      <c r="R83" s="120">
        <f t="shared" si="10"/>
        <v>0</v>
      </c>
      <c r="S83" s="120">
        <f t="shared" si="10"/>
        <v>0</v>
      </c>
      <c r="T83" s="120">
        <f t="shared" si="10"/>
        <v>0</v>
      </c>
      <c r="U83" s="120">
        <f t="shared" si="10"/>
        <v>0</v>
      </c>
      <c r="V83" s="120">
        <f t="shared" si="10"/>
        <v>0</v>
      </c>
      <c r="W83" s="120">
        <f t="shared" si="10"/>
        <v>0</v>
      </c>
      <c r="X83" s="120">
        <f t="shared" si="10"/>
        <v>0</v>
      </c>
      <c r="Y83" s="120">
        <f t="shared" si="10"/>
        <v>0</v>
      </c>
      <c r="Z83" s="120">
        <f t="shared" si="10"/>
        <v>0</v>
      </c>
      <c r="AA83" s="120">
        <f t="shared" si="10"/>
        <v>0</v>
      </c>
      <c r="AB83" s="120">
        <f t="shared" si="10"/>
        <v>0</v>
      </c>
      <c r="AC83" s="120">
        <f t="shared" si="10"/>
        <v>0</v>
      </c>
      <c r="AD83" s="120">
        <f t="shared" si="10"/>
        <v>0</v>
      </c>
      <c r="AE83" s="120">
        <f t="shared" si="10"/>
        <v>0</v>
      </c>
      <c r="AF83" s="120">
        <f t="shared" si="10"/>
        <v>0</v>
      </c>
      <c r="AG83" s="120">
        <f t="shared" si="10"/>
        <v>0</v>
      </c>
      <c r="AH83" s="120">
        <f t="shared" si="10"/>
        <v>0</v>
      </c>
      <c r="AI83" s="120">
        <f t="shared" si="10"/>
        <v>0</v>
      </c>
      <c r="AJ83" s="120">
        <f t="shared" si="10"/>
        <v>0</v>
      </c>
      <c r="AK83" s="120">
        <f t="shared" si="10"/>
        <v>0</v>
      </c>
      <c r="AL83" s="120">
        <f t="shared" si="10"/>
        <v>0</v>
      </c>
      <c r="AM83" s="120">
        <f t="shared" si="10"/>
        <v>0</v>
      </c>
      <c r="AN83" s="120">
        <f t="shared" si="10"/>
        <v>0</v>
      </c>
      <c r="AO83" s="120">
        <f t="shared" si="10"/>
        <v>0</v>
      </c>
      <c r="AP83" s="120">
        <f t="shared" si="10"/>
        <v>0</v>
      </c>
      <c r="AQ83" s="120">
        <f t="shared" si="10"/>
        <v>0</v>
      </c>
      <c r="AR83" s="120">
        <f t="shared" si="10"/>
        <v>0</v>
      </c>
      <c r="AS83" s="120">
        <f t="shared" si="10"/>
        <v>0</v>
      </c>
      <c r="AT83" s="120">
        <f t="shared" si="10"/>
        <v>0</v>
      </c>
      <c r="AU83" s="120">
        <f t="shared" si="10"/>
        <v>0</v>
      </c>
      <c r="AV83" s="120">
        <f t="shared" si="10"/>
        <v>0</v>
      </c>
      <c r="AW83" s="120">
        <f t="shared" si="10"/>
        <v>0</v>
      </c>
      <c r="AX83" s="120">
        <f t="shared" si="10"/>
        <v>0</v>
      </c>
      <c r="AY83" s="120">
        <f t="shared" si="10"/>
        <v>0</v>
      </c>
      <c r="AZ83" s="120">
        <f t="shared" si="10"/>
        <v>0</v>
      </c>
      <c r="BA83" s="120">
        <f t="shared" si="10"/>
        <v>0</v>
      </c>
      <c r="BB83" s="120">
        <f t="shared" si="10"/>
        <v>0</v>
      </c>
      <c r="BC83" s="120">
        <f t="shared" si="10"/>
        <v>0</v>
      </c>
      <c r="BD83" s="120">
        <f t="shared" si="10"/>
        <v>0</v>
      </c>
      <c r="BE83" s="120">
        <f t="shared" si="10"/>
        <v>0</v>
      </c>
      <c r="BF83" s="120">
        <f t="shared" si="10"/>
        <v>0</v>
      </c>
      <c r="BG83" s="120">
        <f t="shared" si="10"/>
        <v>0</v>
      </c>
      <c r="BH83" s="120">
        <f t="shared" si="10"/>
        <v>0</v>
      </c>
      <c r="BI83" s="120">
        <f t="shared" si="10"/>
        <v>0</v>
      </c>
      <c r="BJ83" s="120">
        <f t="shared" si="10"/>
        <v>0</v>
      </c>
      <c r="BK83" s="120">
        <f t="shared" si="10"/>
        <v>0</v>
      </c>
    </row>
    <row r="84" spans="1:63" ht="15" thickBot="1" x14ac:dyDescent="0.4">
      <c r="A84" s="58" t="s">
        <v>8</v>
      </c>
      <c r="B84" s="28"/>
      <c r="C84" s="28" t="e">
        <f>C83/H83</f>
        <v>#DIV/0!</v>
      </c>
      <c r="D84" s="28" t="e">
        <f>D83/H83</f>
        <v>#DIV/0!</v>
      </c>
      <c r="E84" s="28" t="e">
        <f>E83/H83</f>
        <v>#DIV/0!</v>
      </c>
      <c r="F84" s="28" t="e">
        <f>F83/H83</f>
        <v>#DIV/0!</v>
      </c>
      <c r="G84" s="28" t="e">
        <f>G83/H83</f>
        <v>#DIV/0!</v>
      </c>
      <c r="H84" s="28" t="e">
        <f>SUM(C84:G84)</f>
        <v>#DIV/0!</v>
      </c>
      <c r="I84" s="2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60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</row>
    <row r="88" spans="1:63" ht="37.5" thickBot="1" x14ac:dyDescent="0.5">
      <c r="A88" s="64" t="s">
        <v>109</v>
      </c>
      <c r="B88" s="6"/>
      <c r="C88" s="6"/>
      <c r="D88" s="6"/>
      <c r="E88" s="6"/>
      <c r="F88" s="6"/>
      <c r="G88" s="6"/>
      <c r="H88" s="6"/>
      <c r="I88" s="6"/>
      <c r="J88" s="6"/>
    </row>
    <row r="89" spans="1:63" ht="15" thickBot="1" x14ac:dyDescent="0.4">
      <c r="A89" s="31"/>
      <c r="B89" s="198" t="s">
        <v>23</v>
      </c>
      <c r="C89" s="199"/>
      <c r="D89" s="199"/>
      <c r="E89" s="199"/>
      <c r="F89" s="200"/>
      <c r="G89" s="65"/>
      <c r="H89" s="6"/>
      <c r="I89" s="195" t="s">
        <v>7</v>
      </c>
      <c r="J89" s="196"/>
      <c r="K89" s="197"/>
      <c r="L89" s="66">
        <f>G91</f>
        <v>0</v>
      </c>
    </row>
    <row r="90" spans="1:63" ht="15" thickBot="1" x14ac:dyDescent="0.4">
      <c r="A90" s="6"/>
      <c r="B90" s="55" t="s">
        <v>9</v>
      </c>
      <c r="C90" s="56" t="s">
        <v>20</v>
      </c>
      <c r="D90" s="56" t="s">
        <v>21</v>
      </c>
      <c r="E90" s="56" t="s">
        <v>22</v>
      </c>
      <c r="F90" s="56" t="s">
        <v>101</v>
      </c>
      <c r="G90" s="67" t="s">
        <v>19</v>
      </c>
      <c r="H90" s="6"/>
      <c r="I90" s="195" t="s">
        <v>15</v>
      </c>
      <c r="J90" s="196"/>
      <c r="K90" s="197"/>
      <c r="L90" s="66">
        <f>(L89*50)/Totalplots</f>
        <v>0</v>
      </c>
    </row>
    <row r="91" spans="1:63" ht="15" thickBot="1" x14ac:dyDescent="0.4">
      <c r="A91" s="6"/>
      <c r="B91" s="59">
        <f>C62+C83</f>
        <v>0</v>
      </c>
      <c r="C91" s="59">
        <f>D62+D83</f>
        <v>0</v>
      </c>
      <c r="D91" s="59">
        <f>E62+E83</f>
        <v>0</v>
      </c>
      <c r="E91" s="59">
        <f>F62+F83</f>
        <v>0</v>
      </c>
      <c r="F91" s="59">
        <f>G62+G83</f>
        <v>0</v>
      </c>
      <c r="G91" s="9">
        <f>SUM(B91:F91)</f>
        <v>0</v>
      </c>
      <c r="H91" s="6"/>
      <c r="I91" s="195" t="s">
        <v>110</v>
      </c>
      <c r="J91" s="196"/>
      <c r="K91" s="197"/>
      <c r="L91" s="66">
        <f>L89-SUM(C83:G83)</f>
        <v>0</v>
      </c>
    </row>
    <row r="92" spans="1:63" ht="15" thickBot="1" x14ac:dyDescent="0.4">
      <c r="A92" s="6" t="s">
        <v>7</v>
      </c>
      <c r="B92" s="59">
        <f>SUM(B91:B91)</f>
        <v>0</v>
      </c>
      <c r="C92" s="59">
        <f t="shared" ref="C92:G92" si="11">SUM(C91:C91)</f>
        <v>0</v>
      </c>
      <c r="D92" s="59">
        <f t="shared" si="11"/>
        <v>0</v>
      </c>
      <c r="E92" s="59">
        <f t="shared" si="11"/>
        <v>0</v>
      </c>
      <c r="F92" s="59">
        <f t="shared" si="11"/>
        <v>0</v>
      </c>
      <c r="G92" s="59">
        <f t="shared" si="11"/>
        <v>0</v>
      </c>
      <c r="H92" s="6"/>
      <c r="I92" s="131" t="s">
        <v>111</v>
      </c>
      <c r="J92" s="132"/>
      <c r="K92" s="133"/>
      <c r="L92" s="66">
        <f>(L91*50)/Totalplots</f>
        <v>0</v>
      </c>
    </row>
    <row r="93" spans="1:63" ht="15" thickBot="1" x14ac:dyDescent="0.4">
      <c r="A93" s="6" t="s">
        <v>8</v>
      </c>
      <c r="B93" s="28" t="e">
        <f>B92/G92</f>
        <v>#DIV/0!</v>
      </c>
      <c r="C93" s="28" t="e">
        <f>C92/G92</f>
        <v>#DIV/0!</v>
      </c>
      <c r="D93" s="28" t="e">
        <f>D92/G92</f>
        <v>#DIV/0!</v>
      </c>
      <c r="E93" s="28" t="e">
        <f>E92/G92</f>
        <v>#DIV/0!</v>
      </c>
      <c r="F93" s="28" t="e">
        <f>F92/G92</f>
        <v>#DIV/0!</v>
      </c>
      <c r="G93" s="28" t="e">
        <f>SUM(B93:F93)</f>
        <v>#DIV/0!</v>
      </c>
      <c r="H93" s="6"/>
      <c r="I93" s="131" t="s">
        <v>16</v>
      </c>
      <c r="J93" s="132"/>
      <c r="K93" s="133"/>
      <c r="L93" s="66">
        <f>I71</f>
        <v>0</v>
      </c>
    </row>
    <row r="94" spans="1:63" ht="15" thickBot="1" x14ac:dyDescent="0.4">
      <c r="A94" s="6"/>
      <c r="B94" s="6"/>
      <c r="C94" s="6"/>
      <c r="D94" s="6"/>
      <c r="E94" s="6"/>
      <c r="F94" s="6"/>
      <c r="G94" s="6"/>
      <c r="H94" s="6"/>
      <c r="I94" s="131" t="s">
        <v>17</v>
      </c>
      <c r="J94" s="132"/>
      <c r="K94" s="133"/>
      <c r="L94" s="66">
        <f>(L93*50)/Totalplots</f>
        <v>0</v>
      </c>
    </row>
    <row r="95" spans="1:63" ht="15" thickBot="1" x14ac:dyDescent="0.4">
      <c r="A95" s="6"/>
      <c r="B95" s="6"/>
      <c r="C95" s="6"/>
      <c r="D95" s="6"/>
      <c r="E95" s="6"/>
      <c r="F95" s="6"/>
      <c r="G95" s="6"/>
      <c r="H95" s="6"/>
      <c r="I95" s="131" t="s">
        <v>112</v>
      </c>
      <c r="J95" s="132"/>
      <c r="K95" s="133"/>
      <c r="L95" s="66">
        <f>N69</f>
        <v>0</v>
      </c>
    </row>
    <row r="96" spans="1:63" ht="15" thickBot="1" x14ac:dyDescent="0.4">
      <c r="A96" s="6"/>
      <c r="B96" s="6"/>
      <c r="C96" s="6"/>
      <c r="D96" s="6"/>
      <c r="E96" s="6"/>
      <c r="F96" s="6"/>
      <c r="G96" s="6"/>
      <c r="H96" s="6"/>
      <c r="I96" s="131" t="s">
        <v>113</v>
      </c>
      <c r="J96" s="132"/>
      <c r="K96" s="133"/>
      <c r="L96" s="66">
        <f>(L95*50)/Totalplots</f>
        <v>0</v>
      </c>
    </row>
    <row r="97" spans="1:12" ht="15" thickBot="1" x14ac:dyDescent="0.4">
      <c r="A97" s="6"/>
      <c r="B97" s="6"/>
      <c r="C97" s="6"/>
      <c r="D97" s="6"/>
      <c r="E97" s="6"/>
      <c r="F97" s="6"/>
      <c r="G97" s="6"/>
      <c r="H97" s="6"/>
      <c r="I97" s="68"/>
      <c r="J97" s="69"/>
      <c r="K97"/>
      <c r="L97"/>
    </row>
    <row r="98" spans="1:12" ht="15" thickBot="1" x14ac:dyDescent="0.4">
      <c r="A98" s="6"/>
      <c r="B98" s="6"/>
      <c r="C98" s="6"/>
      <c r="D98" s="6"/>
      <c r="E98" s="6"/>
      <c r="F98" s="6"/>
      <c r="G98" s="6"/>
      <c r="H98" s="6"/>
      <c r="I98" s="193" t="s">
        <v>54</v>
      </c>
      <c r="J98" s="193"/>
      <c r="K98" s="193"/>
      <c r="L98" s="70">
        <f>L95</f>
        <v>0</v>
      </c>
    </row>
    <row r="99" spans="1:12" ht="15" thickBot="1" x14ac:dyDescent="0.4">
      <c r="A99" s="6"/>
      <c r="B99" s="6"/>
      <c r="C99" s="6"/>
      <c r="D99" s="6"/>
      <c r="E99" s="6"/>
      <c r="F99" s="6"/>
      <c r="G99" s="6"/>
      <c r="H99" s="6"/>
      <c r="I99" s="193" t="s">
        <v>55</v>
      </c>
      <c r="J99" s="193"/>
      <c r="K99" s="193"/>
      <c r="L99" s="71" t="e">
        <f>L98/L89</f>
        <v>#DIV/0!</v>
      </c>
    </row>
  </sheetData>
  <mergeCells count="18">
    <mergeCell ref="I99:K99"/>
    <mergeCell ref="K69:M69"/>
    <mergeCell ref="F70:H70"/>
    <mergeCell ref="K70:M70"/>
    <mergeCell ref="F71:H71"/>
    <mergeCell ref="F72:H72"/>
    <mergeCell ref="C76:G76"/>
    <mergeCell ref="F69:H69"/>
    <mergeCell ref="B89:F89"/>
    <mergeCell ref="I89:K89"/>
    <mergeCell ref="I90:K90"/>
    <mergeCell ref="I91:K91"/>
    <mergeCell ref="I98:K98"/>
    <mergeCell ref="C3:G3"/>
    <mergeCell ref="F64:I64"/>
    <mergeCell ref="F65:I65"/>
    <mergeCell ref="F66:I66"/>
    <mergeCell ref="F67:I67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Y99"/>
  <sheetViews>
    <sheetView topLeftCell="A34" zoomScale="90" zoomScaleNormal="90" workbookViewId="0">
      <pane xSplit="1" topLeftCell="B1" activePane="topRight" state="frozen"/>
      <selection pane="topRight" activeCell="C74" sqref="C74"/>
    </sheetView>
  </sheetViews>
  <sheetFormatPr defaultRowHeight="14.5" x14ac:dyDescent="0.35"/>
  <cols>
    <col min="1" max="1" width="32" customWidth="1"/>
    <col min="2" max="2" width="14.1796875" customWidth="1"/>
    <col min="3" max="7" width="10.26953125" customWidth="1"/>
    <col min="8" max="8" width="12.453125" customWidth="1"/>
    <col min="9" max="9" width="10.26953125" customWidth="1"/>
    <col min="10" max="10" width="11.26953125" customWidth="1"/>
    <col min="11" max="50" width="12" style="6" customWidth="1"/>
    <col min="51" max="51" width="11.54296875" style="6" bestFit="1" customWidth="1"/>
    <col min="52" max="62" width="11.54296875" bestFit="1" customWidth="1"/>
    <col min="63" max="63" width="13.26953125" customWidth="1"/>
  </cols>
  <sheetData>
    <row r="1" spans="1:103" x14ac:dyDescent="0.35">
      <c r="A1" s="183" t="s">
        <v>175</v>
      </c>
    </row>
    <row r="2" spans="1:103" ht="15" thickBot="1" x14ac:dyDescent="0.4">
      <c r="A2" s="183" t="s">
        <v>176</v>
      </c>
      <c r="B2" s="183">
        <v>54</v>
      </c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103" ht="15" thickBot="1" x14ac:dyDescent="0.4">
      <c r="A3" s="11"/>
      <c r="B3" s="12"/>
      <c r="C3" s="184" t="s">
        <v>23</v>
      </c>
      <c r="D3" s="185"/>
      <c r="E3" s="185"/>
      <c r="F3" s="185"/>
      <c r="G3" s="186"/>
      <c r="H3" s="21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42"/>
      <c r="BD3" s="22"/>
      <c r="BE3" s="22"/>
      <c r="BF3" s="22"/>
      <c r="BG3" s="22"/>
      <c r="BH3" s="22"/>
      <c r="BI3" s="22"/>
      <c r="BJ3" s="22"/>
      <c r="BK3" s="22"/>
      <c r="BL3" s="72"/>
      <c r="BM3" s="72"/>
      <c r="BN3" s="72"/>
      <c r="BO3" s="72"/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72"/>
      <c r="CB3" s="72"/>
      <c r="CC3" s="72"/>
      <c r="CD3" s="72"/>
      <c r="CE3" s="72"/>
      <c r="CF3" s="72"/>
      <c r="CG3" s="72"/>
      <c r="CH3" s="72"/>
      <c r="CI3" s="72"/>
      <c r="CJ3" s="72"/>
      <c r="CK3" s="72"/>
      <c r="CL3" s="72"/>
      <c r="CM3" s="72"/>
      <c r="CN3" s="72"/>
      <c r="CO3" s="72"/>
      <c r="CP3" s="72"/>
      <c r="CQ3" s="72"/>
      <c r="CR3" s="72"/>
      <c r="CS3" s="72"/>
      <c r="CT3" s="72"/>
      <c r="CU3" s="72"/>
      <c r="CV3" s="72"/>
      <c r="CW3" s="72"/>
      <c r="CX3" s="72"/>
      <c r="CY3" s="72"/>
    </row>
    <row r="4" spans="1:103" ht="15" thickBot="1" x14ac:dyDescent="0.4">
      <c r="A4" s="13" t="s">
        <v>18</v>
      </c>
      <c r="B4" s="13" t="s">
        <v>24</v>
      </c>
      <c r="C4" s="14" t="s">
        <v>9</v>
      </c>
      <c r="D4" s="15" t="s">
        <v>20</v>
      </c>
      <c r="E4" s="15" t="s">
        <v>21</v>
      </c>
      <c r="F4" s="15" t="s">
        <v>22</v>
      </c>
      <c r="G4" s="15" t="s">
        <v>114</v>
      </c>
      <c r="H4" s="20" t="s">
        <v>19</v>
      </c>
      <c r="I4" s="23" t="s">
        <v>25</v>
      </c>
      <c r="J4" s="24" t="s">
        <v>26</v>
      </c>
      <c r="K4" s="24" t="s">
        <v>27</v>
      </c>
      <c r="L4" s="24" t="s">
        <v>28</v>
      </c>
      <c r="M4" s="24" t="s">
        <v>29</v>
      </c>
      <c r="N4" s="24" t="s">
        <v>30</v>
      </c>
      <c r="O4" s="24" t="s">
        <v>31</v>
      </c>
      <c r="P4" s="24" t="s">
        <v>32</v>
      </c>
      <c r="Q4" s="24" t="s">
        <v>33</v>
      </c>
      <c r="R4" s="24" t="s">
        <v>34</v>
      </c>
      <c r="S4" s="24" t="s">
        <v>35</v>
      </c>
      <c r="T4" s="24" t="s">
        <v>36</v>
      </c>
      <c r="U4" s="24" t="s">
        <v>37</v>
      </c>
      <c r="V4" s="24" t="s">
        <v>38</v>
      </c>
      <c r="W4" s="24" t="s">
        <v>39</v>
      </c>
      <c r="X4" s="24" t="s">
        <v>40</v>
      </c>
      <c r="Y4" s="24" t="s">
        <v>41</v>
      </c>
      <c r="Z4" s="24" t="s">
        <v>42</v>
      </c>
      <c r="AA4" s="24" t="s">
        <v>43</v>
      </c>
      <c r="AB4" s="24" t="s">
        <v>44</v>
      </c>
      <c r="AC4" s="24" t="s">
        <v>45</v>
      </c>
      <c r="AD4" s="24" t="s">
        <v>46</v>
      </c>
      <c r="AE4" s="24" t="s">
        <v>47</v>
      </c>
      <c r="AF4" s="24" t="s">
        <v>48</v>
      </c>
      <c r="AG4" s="24" t="s">
        <v>49</v>
      </c>
      <c r="AH4" s="24" t="s">
        <v>57</v>
      </c>
      <c r="AI4" s="24" t="s">
        <v>58</v>
      </c>
      <c r="AJ4" s="24" t="s">
        <v>59</v>
      </c>
      <c r="AK4" s="24" t="s">
        <v>60</v>
      </c>
      <c r="AL4" s="24" t="s">
        <v>61</v>
      </c>
      <c r="AM4" s="24" t="s">
        <v>62</v>
      </c>
      <c r="AN4" s="24" t="s">
        <v>63</v>
      </c>
      <c r="AO4" s="24" t="s">
        <v>64</v>
      </c>
      <c r="AP4" s="24" t="s">
        <v>65</v>
      </c>
      <c r="AQ4" s="24" t="s">
        <v>66</v>
      </c>
      <c r="AR4" s="24" t="s">
        <v>67</v>
      </c>
      <c r="AS4" s="24" t="s">
        <v>68</v>
      </c>
      <c r="AT4" s="24" t="s">
        <v>69</v>
      </c>
      <c r="AU4" s="24" t="s">
        <v>70</v>
      </c>
      <c r="AV4" s="24" t="s">
        <v>71</v>
      </c>
      <c r="AW4" s="24" t="s">
        <v>72</v>
      </c>
      <c r="AX4" s="24" t="s">
        <v>73</v>
      </c>
      <c r="AY4" s="25" t="s">
        <v>74</v>
      </c>
      <c r="AZ4" s="25" t="s">
        <v>86</v>
      </c>
      <c r="BA4" s="25" t="s">
        <v>87</v>
      </c>
      <c r="BB4" s="25" t="s">
        <v>88</v>
      </c>
      <c r="BC4" s="43" t="s">
        <v>89</v>
      </c>
      <c r="BD4" s="24" t="s">
        <v>137</v>
      </c>
      <c r="BE4" s="24" t="s">
        <v>138</v>
      </c>
      <c r="BF4" s="24" t="s">
        <v>139</v>
      </c>
      <c r="BG4" s="24" t="s">
        <v>140</v>
      </c>
      <c r="BH4" s="24" t="s">
        <v>141</v>
      </c>
      <c r="BI4" s="24" t="s">
        <v>142</v>
      </c>
      <c r="BJ4" s="24" t="s">
        <v>143</v>
      </c>
      <c r="BK4" s="24" t="s">
        <v>144</v>
      </c>
      <c r="BL4" s="72"/>
      <c r="BM4" s="72"/>
      <c r="BN4" s="72"/>
      <c r="BO4" s="72"/>
      <c r="BP4" s="72"/>
      <c r="BQ4" s="72"/>
      <c r="BR4" s="72"/>
      <c r="BS4" s="72"/>
      <c r="BT4" s="72"/>
      <c r="BU4" s="72"/>
      <c r="BV4" s="72"/>
      <c r="BW4" s="72"/>
      <c r="BX4" s="72"/>
      <c r="BY4" s="72"/>
      <c r="BZ4" s="72"/>
      <c r="CA4" s="72"/>
      <c r="CB4" s="72"/>
      <c r="CC4" s="72"/>
      <c r="CD4" s="72"/>
      <c r="CE4" s="72"/>
      <c r="CF4" s="72"/>
      <c r="CG4" s="72"/>
      <c r="CH4" s="72"/>
      <c r="CI4" s="72"/>
      <c r="CJ4" s="72"/>
      <c r="CK4" s="72"/>
      <c r="CL4" s="72"/>
      <c r="CM4" s="72"/>
      <c r="CN4" s="72"/>
      <c r="CO4" s="72"/>
      <c r="CP4" s="72"/>
      <c r="CQ4" s="72"/>
      <c r="CR4" s="72"/>
      <c r="CS4" s="72"/>
      <c r="CT4" s="72"/>
      <c r="CU4" s="72"/>
      <c r="CV4" s="72"/>
      <c r="CW4" s="72"/>
      <c r="CX4" s="72"/>
      <c r="CY4" s="72"/>
    </row>
    <row r="5" spans="1:103" s="6" customFormat="1" ht="15" thickBot="1" x14ac:dyDescent="0.4">
      <c r="A5" s="76" t="s">
        <v>1</v>
      </c>
      <c r="B5" s="28" t="e">
        <f t="shared" ref="B5:B61" si="0">H5/$H$62</f>
        <v>#DIV/0!</v>
      </c>
      <c r="C5" s="61"/>
      <c r="D5" s="50"/>
      <c r="E5" s="50"/>
      <c r="F5" s="50"/>
      <c r="G5" s="50"/>
      <c r="H5" s="9">
        <f>SUM(Table723624[[#This Row],[&lt; 2]:[&gt;12]])</f>
        <v>0</v>
      </c>
      <c r="I5" s="29">
        <f>SUM(Table723624[[#This Row],[VP - 1]:[VP - 54]])</f>
        <v>0</v>
      </c>
      <c r="J5" s="61" t="str">
        <f>IFERROR(VLOOKUP(Table723624[[#This Row],[Species]],'VP1'!$C:$I,7,FALSE),"")</f>
        <v/>
      </c>
      <c r="K5" s="61" t="str">
        <f>IFERROR(VLOOKUP(Table723624[[#This Row],[Species]],'VP2'!$C:$I,7,FALSE),"")</f>
        <v/>
      </c>
      <c r="L5" s="61"/>
      <c r="M5" s="61"/>
      <c r="N5" s="61"/>
      <c r="O5" s="61"/>
      <c r="P5" s="86"/>
      <c r="Q5" s="87"/>
      <c r="R5" s="87"/>
      <c r="S5" s="87"/>
      <c r="T5" s="87"/>
      <c r="U5" s="87"/>
      <c r="V5" s="87"/>
      <c r="W5" s="87"/>
      <c r="X5" s="121"/>
      <c r="Y5" s="121"/>
      <c r="Z5" s="121"/>
      <c r="AA5" s="87"/>
      <c r="AB5" s="87"/>
      <c r="AC5" s="87"/>
      <c r="AD5" s="87"/>
      <c r="AE5" s="62"/>
      <c r="AF5" s="62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72"/>
      <c r="BM5" s="72"/>
      <c r="BN5" s="72"/>
      <c r="BO5" s="72"/>
      <c r="BP5" s="72"/>
      <c r="BQ5" s="72"/>
      <c r="BR5" s="72"/>
      <c r="BS5" s="72"/>
      <c r="BT5" s="72"/>
      <c r="BU5" s="72"/>
      <c r="BV5" s="72"/>
      <c r="BW5" s="72"/>
      <c r="BX5" s="72"/>
      <c r="BY5" s="72"/>
      <c r="BZ5" s="72"/>
      <c r="CA5" s="72"/>
      <c r="CB5" s="72"/>
      <c r="CC5" s="72"/>
      <c r="CD5" s="72"/>
      <c r="CE5" s="72"/>
      <c r="CF5" s="72"/>
      <c r="CG5" s="72"/>
      <c r="CH5" s="72"/>
      <c r="CI5" s="72"/>
      <c r="CJ5" s="72"/>
      <c r="CK5" s="72"/>
      <c r="CL5" s="72"/>
      <c r="CM5" s="72"/>
      <c r="CN5" s="72"/>
      <c r="CO5" s="72"/>
      <c r="CP5" s="72"/>
      <c r="CQ5" s="72"/>
      <c r="CR5" s="72"/>
      <c r="CS5" s="72"/>
      <c r="CT5" s="72"/>
      <c r="CU5" s="72"/>
      <c r="CV5" s="72"/>
      <c r="CW5" s="72"/>
      <c r="CX5" s="72"/>
      <c r="CY5" s="72"/>
    </row>
    <row r="6" spans="1:103" s="6" customFormat="1" ht="15" thickBot="1" x14ac:dyDescent="0.4">
      <c r="A6" s="73" t="s">
        <v>0</v>
      </c>
      <c r="B6" s="48" t="e">
        <f t="shared" si="0"/>
        <v>#DIV/0!</v>
      </c>
      <c r="C6" s="77"/>
      <c r="D6" s="36"/>
      <c r="E6" s="36"/>
      <c r="F6" s="36"/>
      <c r="G6" s="36"/>
      <c r="H6" s="37">
        <f>SUM(Table723624[[#This Row],[&lt; 2]:[&gt;12]])</f>
        <v>0</v>
      </c>
      <c r="I6" s="38">
        <f>SUM(Table723624[[#This Row],[VP - 1]:[VP - 54]])</f>
        <v>0</v>
      </c>
      <c r="J6" s="74" t="str">
        <f>IFERROR(VLOOKUP(Table723624[[#This Row],[Species]],'VP1'!$C:$I,7,FALSE),"")</f>
        <v/>
      </c>
      <c r="K6" s="74" t="str">
        <f>IFERROR(VLOOKUP(Table723624[[#This Row],[Species]],'VP2'!$C:$I,7,FALSE),"")</f>
        <v/>
      </c>
      <c r="L6" s="74"/>
      <c r="M6" s="74"/>
      <c r="N6" s="74"/>
      <c r="O6" s="74"/>
      <c r="P6" s="88"/>
      <c r="Q6" s="66"/>
      <c r="R6" s="66"/>
      <c r="S6" s="66"/>
      <c r="T6" s="66"/>
      <c r="U6" s="66"/>
      <c r="V6" s="66"/>
      <c r="W6" s="66"/>
      <c r="X6" s="122"/>
      <c r="Y6" s="122"/>
      <c r="Z6" s="122"/>
      <c r="AA6" s="66"/>
      <c r="AB6" s="66"/>
      <c r="AC6" s="66"/>
      <c r="AD6" s="66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72"/>
      <c r="BM6" s="72"/>
      <c r="BN6" s="72"/>
      <c r="BO6" s="72"/>
      <c r="BP6" s="72"/>
      <c r="BQ6" s="72"/>
      <c r="BR6" s="72"/>
      <c r="BS6" s="72"/>
      <c r="BT6" s="72"/>
      <c r="BU6" s="72"/>
      <c r="BV6" s="72"/>
      <c r="BW6" s="72"/>
      <c r="BX6" s="72"/>
      <c r="BY6" s="72"/>
      <c r="BZ6" s="72"/>
      <c r="CA6" s="72"/>
      <c r="CB6" s="72"/>
      <c r="CC6" s="72"/>
      <c r="CD6" s="72"/>
      <c r="CE6" s="72"/>
      <c r="CF6" s="72"/>
      <c r="CG6" s="72"/>
      <c r="CH6" s="72"/>
      <c r="CI6" s="72"/>
      <c r="CJ6" s="72"/>
      <c r="CK6" s="72"/>
      <c r="CL6" s="72"/>
      <c r="CM6" s="72"/>
      <c r="CN6" s="72"/>
      <c r="CO6" s="72"/>
      <c r="CP6" s="72"/>
      <c r="CQ6" s="72"/>
      <c r="CR6" s="72"/>
      <c r="CS6" s="72"/>
      <c r="CT6" s="72"/>
      <c r="CU6" s="72"/>
      <c r="CV6" s="72"/>
      <c r="CW6" s="72"/>
      <c r="CX6" s="72"/>
      <c r="CY6" s="72"/>
    </row>
    <row r="7" spans="1:103" s="40" customFormat="1" ht="15" thickBot="1" x14ac:dyDescent="0.4">
      <c r="A7" s="73" t="s">
        <v>2</v>
      </c>
      <c r="B7" s="48" t="e">
        <f t="shared" si="0"/>
        <v>#DIV/0!</v>
      </c>
      <c r="C7" s="74"/>
      <c r="D7" s="36"/>
      <c r="E7" s="36"/>
      <c r="F7" s="36"/>
      <c r="G7" s="36"/>
      <c r="H7" s="37">
        <f>SUM(Table723624[[#This Row],[&lt; 2]:[&gt;12]])</f>
        <v>0</v>
      </c>
      <c r="I7" s="38">
        <f>SUM(Table723624[[#This Row],[VP - 1]:[VP - 54]])</f>
        <v>0</v>
      </c>
      <c r="J7" s="74" t="str">
        <f>IFERROR(VLOOKUP(Table723624[[#This Row],[Species]],'VP1'!$C:$I,7,FALSE),"")</f>
        <v/>
      </c>
      <c r="K7" s="74" t="str">
        <f>IFERROR(VLOOKUP(Table723624[[#This Row],[Species]],'VP2'!$C:$I,7,FALSE),"")</f>
        <v/>
      </c>
      <c r="L7" s="74"/>
      <c r="M7" s="74"/>
      <c r="N7" s="74"/>
      <c r="O7" s="74"/>
      <c r="P7" s="88"/>
      <c r="Q7" s="66"/>
      <c r="R7" s="66"/>
      <c r="S7" s="66"/>
      <c r="T7" s="66"/>
      <c r="U7" s="66"/>
      <c r="V7" s="66"/>
      <c r="W7" s="66"/>
      <c r="X7" s="122"/>
      <c r="Y7" s="122"/>
      <c r="Z7" s="122"/>
      <c r="AA7" s="66"/>
      <c r="AB7" s="66"/>
      <c r="AC7" s="66"/>
      <c r="AD7" s="66"/>
      <c r="AE7" s="89"/>
      <c r="AF7" s="89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72"/>
      <c r="BM7" s="72"/>
      <c r="BN7" s="72"/>
      <c r="BO7" s="72"/>
      <c r="BP7" s="72"/>
      <c r="BQ7" s="72"/>
      <c r="BR7" s="72"/>
      <c r="BS7" s="72"/>
      <c r="BT7" s="72"/>
      <c r="BU7" s="72"/>
      <c r="BV7" s="72"/>
      <c r="BW7" s="72"/>
      <c r="BX7" s="72"/>
      <c r="BY7" s="72"/>
      <c r="BZ7" s="72"/>
      <c r="CA7" s="72"/>
      <c r="CB7" s="72"/>
      <c r="CC7" s="72"/>
      <c r="CD7" s="72"/>
      <c r="CE7" s="72"/>
      <c r="CF7" s="72"/>
      <c r="CG7" s="72"/>
      <c r="CH7" s="72"/>
      <c r="CI7" s="72"/>
      <c r="CJ7" s="72"/>
      <c r="CK7" s="72"/>
      <c r="CL7" s="72"/>
      <c r="CM7" s="72"/>
      <c r="CN7" s="72"/>
      <c r="CO7" s="72"/>
      <c r="CP7" s="72"/>
      <c r="CQ7" s="72"/>
      <c r="CR7" s="72"/>
      <c r="CS7" s="72"/>
      <c r="CT7" s="72"/>
      <c r="CU7" s="72"/>
      <c r="CV7" s="72"/>
      <c r="CW7" s="72"/>
      <c r="CX7" s="72"/>
      <c r="CY7" s="72"/>
    </row>
    <row r="8" spans="1:103" s="6" customFormat="1" ht="15" thickBot="1" x14ac:dyDescent="0.4">
      <c r="A8" s="73" t="s">
        <v>135</v>
      </c>
      <c r="B8" s="48" t="e">
        <f t="shared" si="0"/>
        <v>#DIV/0!</v>
      </c>
      <c r="C8" s="77"/>
      <c r="D8" s="36"/>
      <c r="E8" s="36"/>
      <c r="F8" s="36"/>
      <c r="G8" s="36"/>
      <c r="H8" s="37">
        <f>SUM(Table723624[[#This Row],[&lt; 2]:[&gt;12]])</f>
        <v>0</v>
      </c>
      <c r="I8" s="38">
        <f>SUM(Table723624[[#This Row],[VP - 1]:[VP - 54]])</f>
        <v>0</v>
      </c>
      <c r="J8" s="74" t="str">
        <f>IFERROR(VLOOKUP(Table723624[[#This Row],[Species]],'VP1'!$C:$I,7,FALSE),"")</f>
        <v/>
      </c>
      <c r="K8" s="74" t="str">
        <f>IFERROR(VLOOKUP(Table723624[[#This Row],[Species]],'VP2'!$C:$I,7,FALSE),"")</f>
        <v/>
      </c>
      <c r="L8" s="74"/>
      <c r="M8" s="74"/>
      <c r="N8" s="74"/>
      <c r="O8" s="74"/>
      <c r="P8" s="88"/>
      <c r="Q8" s="66"/>
      <c r="R8" s="66"/>
      <c r="S8" s="66"/>
      <c r="T8" s="66"/>
      <c r="U8" s="66"/>
      <c r="V8" s="66"/>
      <c r="W8" s="66"/>
      <c r="X8" s="122"/>
      <c r="Y8" s="122"/>
      <c r="Z8" s="122"/>
      <c r="AA8" s="66"/>
      <c r="AB8" s="66"/>
      <c r="AC8" s="66"/>
      <c r="AD8" s="66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72"/>
      <c r="BM8" s="72"/>
      <c r="BN8" s="72"/>
      <c r="BO8" s="72"/>
      <c r="BP8" s="72"/>
      <c r="BQ8" s="72"/>
      <c r="BR8" s="72"/>
      <c r="BS8" s="72"/>
      <c r="BT8" s="72"/>
      <c r="BU8" s="72"/>
      <c r="BV8" s="72"/>
      <c r="BW8" s="72"/>
      <c r="BX8" s="72"/>
      <c r="BY8" s="72"/>
      <c r="BZ8" s="72"/>
      <c r="CA8" s="72"/>
      <c r="CB8" s="72"/>
      <c r="CC8" s="72"/>
      <c r="CD8" s="72"/>
      <c r="CE8" s="72"/>
      <c r="CF8" s="72"/>
      <c r="CG8" s="72"/>
      <c r="CH8" s="72"/>
      <c r="CI8" s="72"/>
      <c r="CJ8" s="72"/>
      <c r="CK8" s="72"/>
      <c r="CL8" s="72"/>
      <c r="CM8" s="72"/>
      <c r="CN8" s="72"/>
      <c r="CO8" s="72"/>
      <c r="CP8" s="72"/>
      <c r="CQ8" s="72"/>
      <c r="CR8" s="72"/>
      <c r="CS8" s="72"/>
      <c r="CT8" s="72"/>
      <c r="CU8" s="72"/>
      <c r="CV8" s="72"/>
      <c r="CW8" s="72"/>
      <c r="CX8" s="72"/>
      <c r="CY8" s="72"/>
    </row>
    <row r="9" spans="1:103" s="6" customFormat="1" ht="15" thickBot="1" x14ac:dyDescent="0.4">
      <c r="A9" s="76" t="s">
        <v>117</v>
      </c>
      <c r="B9" s="28" t="e">
        <f t="shared" si="0"/>
        <v>#DIV/0!</v>
      </c>
      <c r="C9" s="78"/>
      <c r="D9" s="50"/>
      <c r="E9" s="50"/>
      <c r="F9" s="50"/>
      <c r="G9" s="50"/>
      <c r="H9" s="112">
        <f>SUM(Table723624[[#This Row],[&lt; 2]:[&gt;12]])</f>
        <v>0</v>
      </c>
      <c r="I9" s="29">
        <f>SUM(Table723624[[#This Row],[VP - 1]:[VP - 54]])</f>
        <v>0</v>
      </c>
      <c r="J9" s="61" t="str">
        <f>IFERROR(VLOOKUP(Table723624[[#This Row],[Species]],'VP1'!$C:$I,7,FALSE),"")</f>
        <v/>
      </c>
      <c r="K9" s="61" t="str">
        <f>IFERROR(VLOOKUP(Table723624[[#This Row],[Species]],'VP2'!$C:$I,7,FALSE),"")</f>
        <v/>
      </c>
      <c r="L9" s="61"/>
      <c r="M9" s="61"/>
      <c r="N9" s="61"/>
      <c r="O9" s="61"/>
      <c r="P9" s="86"/>
      <c r="Q9" s="87"/>
      <c r="R9" s="87"/>
      <c r="S9" s="87"/>
      <c r="T9" s="87"/>
      <c r="U9" s="87"/>
      <c r="V9" s="87"/>
      <c r="W9" s="87"/>
      <c r="X9" s="121"/>
      <c r="Y9" s="121"/>
      <c r="Z9" s="121"/>
      <c r="AA9" s="87"/>
      <c r="AB9" s="87"/>
      <c r="AC9" s="87"/>
      <c r="AD9" s="87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72"/>
      <c r="BM9" s="72"/>
      <c r="BN9" s="72"/>
      <c r="BO9" s="72"/>
      <c r="BP9" s="72"/>
      <c r="BQ9" s="72"/>
      <c r="BR9" s="72"/>
      <c r="BS9" s="72"/>
      <c r="BT9" s="72"/>
      <c r="BU9" s="72"/>
      <c r="BV9" s="72"/>
      <c r="BW9" s="72"/>
      <c r="BX9" s="72"/>
      <c r="BY9" s="72"/>
      <c r="BZ9" s="72"/>
      <c r="CA9" s="72"/>
      <c r="CB9" s="72"/>
      <c r="CC9" s="72"/>
      <c r="CD9" s="72"/>
      <c r="CE9" s="72"/>
      <c r="CF9" s="72"/>
      <c r="CG9" s="72"/>
      <c r="CH9" s="72"/>
      <c r="CI9" s="72"/>
      <c r="CJ9" s="72"/>
      <c r="CK9" s="72"/>
      <c r="CL9" s="72"/>
      <c r="CM9" s="72"/>
      <c r="CN9" s="72"/>
      <c r="CO9" s="72"/>
      <c r="CP9" s="72"/>
      <c r="CQ9" s="72"/>
      <c r="CR9" s="72"/>
      <c r="CS9" s="72"/>
      <c r="CT9" s="72"/>
      <c r="CU9" s="72"/>
      <c r="CV9" s="72"/>
      <c r="CW9" s="72"/>
      <c r="CX9" s="72"/>
      <c r="CY9" s="72"/>
    </row>
    <row r="10" spans="1:103" s="6" customFormat="1" ht="15" thickBot="1" x14ac:dyDescent="0.4">
      <c r="A10" s="73" t="s">
        <v>80</v>
      </c>
      <c r="B10" s="48" t="e">
        <f t="shared" si="0"/>
        <v>#DIV/0!</v>
      </c>
      <c r="C10" s="74"/>
      <c r="D10" s="135"/>
      <c r="E10" s="135"/>
      <c r="F10" s="135"/>
      <c r="G10" s="135"/>
      <c r="H10" s="37">
        <f>SUM(Table723624[[#This Row],[&lt; 2]:[&gt;12]])</f>
        <v>0</v>
      </c>
      <c r="I10" s="38">
        <f>SUM(Table723624[[#This Row],[VP - 1]:[VP - 54]])</f>
        <v>0</v>
      </c>
      <c r="J10" s="74" t="str">
        <f>IFERROR(VLOOKUP(Table723624[[#This Row],[Species]],'VP1'!$C:$I,7,FALSE),"")</f>
        <v/>
      </c>
      <c r="K10" s="74" t="str">
        <f>IFERROR(VLOOKUP(Table723624[[#This Row],[Species]],'VP2'!$C:$I,7,FALSE),"")</f>
        <v/>
      </c>
      <c r="L10" s="74"/>
      <c r="M10" s="74"/>
      <c r="N10" s="74"/>
      <c r="O10" s="74"/>
      <c r="P10" s="88"/>
      <c r="Q10" s="66"/>
      <c r="R10" s="66"/>
      <c r="S10" s="66"/>
      <c r="T10" s="66"/>
      <c r="U10" s="66"/>
      <c r="V10" s="66"/>
      <c r="W10" s="66"/>
      <c r="X10" s="122"/>
      <c r="Y10" s="122"/>
      <c r="Z10" s="122"/>
      <c r="AA10" s="66"/>
      <c r="AB10" s="66"/>
      <c r="AC10" s="66"/>
      <c r="AD10" s="66"/>
      <c r="AE10" s="66"/>
      <c r="AF10" s="89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72"/>
      <c r="BM10" s="72"/>
      <c r="BN10" s="72"/>
      <c r="BO10" s="72"/>
      <c r="BP10" s="72"/>
      <c r="BQ10" s="72"/>
      <c r="BR10" s="72"/>
      <c r="BS10" s="72"/>
      <c r="BT10" s="72"/>
      <c r="BU10" s="72"/>
      <c r="BV10" s="72"/>
      <c r="BW10" s="72"/>
      <c r="BX10" s="72"/>
      <c r="BY10" s="72"/>
      <c r="BZ10" s="72"/>
      <c r="CA10" s="72"/>
      <c r="CB10" s="72"/>
      <c r="CC10" s="72"/>
      <c r="CD10" s="72"/>
      <c r="CE10" s="72"/>
      <c r="CF10" s="72"/>
      <c r="CG10" s="72"/>
      <c r="CH10" s="72"/>
      <c r="CI10" s="72"/>
      <c r="CJ10" s="72"/>
      <c r="CK10" s="72"/>
      <c r="CL10" s="72"/>
      <c r="CM10" s="72"/>
      <c r="CN10" s="72"/>
      <c r="CO10" s="72"/>
      <c r="CP10" s="72"/>
      <c r="CQ10" s="72"/>
      <c r="CR10" s="72"/>
      <c r="CS10" s="72"/>
      <c r="CT10" s="72"/>
      <c r="CU10" s="72"/>
      <c r="CV10" s="72"/>
      <c r="CW10" s="72"/>
      <c r="CX10" s="72"/>
      <c r="CY10" s="72"/>
    </row>
    <row r="11" spans="1:103" s="40" customFormat="1" ht="15" thickBot="1" x14ac:dyDescent="0.4">
      <c r="A11" s="73" t="s">
        <v>81</v>
      </c>
      <c r="B11" s="48" t="e">
        <f t="shared" si="0"/>
        <v>#DIV/0!</v>
      </c>
      <c r="C11" s="74"/>
      <c r="D11" s="36"/>
      <c r="E11" s="36"/>
      <c r="F11" s="36"/>
      <c r="G11" s="36"/>
      <c r="H11" s="37">
        <f>SUM(Table723624[[#This Row],[&lt; 2]:[&gt;12]])</f>
        <v>0</v>
      </c>
      <c r="I11" s="38">
        <f>SUM(Table723624[[#This Row],[VP - 1]:[VP - 54]])</f>
        <v>0</v>
      </c>
      <c r="J11" s="74" t="str">
        <f>IFERROR(VLOOKUP(Table723624[[#This Row],[Species]],'VP1'!$C:$I,7,FALSE),"")</f>
        <v/>
      </c>
      <c r="K11" s="74" t="str">
        <f>IFERROR(VLOOKUP(Table723624[[#This Row],[Species]],'VP2'!$C:$I,7,FALSE),"")</f>
        <v/>
      </c>
      <c r="L11" s="74"/>
      <c r="M11" s="74"/>
      <c r="N11" s="74"/>
      <c r="O11" s="74"/>
      <c r="P11" s="88"/>
      <c r="Q11" s="66"/>
      <c r="R11" s="66"/>
      <c r="S11" s="66"/>
      <c r="T11" s="66"/>
      <c r="U11" s="66"/>
      <c r="V11" s="66"/>
      <c r="W11" s="66"/>
      <c r="X11" s="122"/>
      <c r="Y11" s="122"/>
      <c r="Z11" s="122"/>
      <c r="AA11" s="66"/>
      <c r="AB11" s="66"/>
      <c r="AC11" s="66"/>
      <c r="AD11" s="66"/>
      <c r="AE11" s="89"/>
      <c r="AF11" s="89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72"/>
      <c r="CM11" s="72"/>
      <c r="CN11" s="72"/>
      <c r="CO11" s="72"/>
      <c r="CP11" s="72"/>
      <c r="CQ11" s="72"/>
      <c r="CR11" s="72"/>
      <c r="CS11" s="72"/>
      <c r="CT11" s="72"/>
      <c r="CU11" s="72"/>
      <c r="CV11" s="72"/>
      <c r="CW11" s="72"/>
      <c r="CX11" s="72"/>
      <c r="CY11" s="72"/>
    </row>
    <row r="12" spans="1:103" s="40" customFormat="1" ht="15" thickBot="1" x14ac:dyDescent="0.4">
      <c r="A12" s="73" t="s">
        <v>134</v>
      </c>
      <c r="B12" s="48" t="e">
        <f t="shared" si="0"/>
        <v>#DIV/0!</v>
      </c>
      <c r="C12" s="77"/>
      <c r="D12" s="36"/>
      <c r="E12" s="36"/>
      <c r="F12" s="36"/>
      <c r="G12" s="36"/>
      <c r="H12" s="37">
        <f>SUM(Table723624[[#This Row],[&lt; 2]:[&gt;12]])</f>
        <v>0</v>
      </c>
      <c r="I12" s="38">
        <f>SUM(Table723624[[#This Row],[VP - 1]:[VP - 54]])</f>
        <v>0</v>
      </c>
      <c r="J12" s="74" t="str">
        <f>IFERROR(VLOOKUP(Table723624[[#This Row],[Species]],'VP1'!$C:$I,7,FALSE),"")</f>
        <v/>
      </c>
      <c r="K12" s="74" t="str">
        <f>IFERROR(VLOOKUP(Table723624[[#This Row],[Species]],'VP2'!$C:$I,7,FALSE),"")</f>
        <v/>
      </c>
      <c r="L12" s="74"/>
      <c r="M12" s="74"/>
      <c r="N12" s="74"/>
      <c r="O12" s="74"/>
      <c r="P12" s="88"/>
      <c r="Q12" s="66"/>
      <c r="R12" s="66"/>
      <c r="S12" s="66"/>
      <c r="T12" s="66"/>
      <c r="U12" s="66"/>
      <c r="V12" s="66"/>
      <c r="W12" s="66"/>
      <c r="X12" s="122"/>
      <c r="Y12" s="122"/>
      <c r="Z12" s="122"/>
      <c r="AA12" s="66"/>
      <c r="AB12" s="66"/>
      <c r="AC12" s="66"/>
      <c r="AD12" s="66"/>
      <c r="AE12" s="89"/>
      <c r="AF12" s="89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72"/>
      <c r="BM12" s="72"/>
      <c r="BN12" s="72"/>
      <c r="BO12" s="72"/>
      <c r="BP12" s="72"/>
      <c r="BQ12" s="72"/>
      <c r="BR12" s="72"/>
      <c r="BS12" s="72"/>
      <c r="BT12" s="72"/>
      <c r="BU12" s="72"/>
      <c r="BV12" s="72"/>
      <c r="BW12" s="72"/>
      <c r="BX12" s="72"/>
      <c r="BY12" s="72"/>
      <c r="BZ12" s="72"/>
      <c r="CA12" s="72"/>
      <c r="CB12" s="72"/>
      <c r="CC12" s="72"/>
      <c r="CD12" s="72"/>
      <c r="CE12" s="72"/>
      <c r="CF12" s="72"/>
      <c r="CG12" s="72"/>
      <c r="CH12" s="72"/>
      <c r="CI12" s="72"/>
      <c r="CJ12" s="72"/>
      <c r="CK12" s="72"/>
      <c r="CL12" s="72"/>
      <c r="CM12" s="72"/>
      <c r="CN12" s="72"/>
      <c r="CO12" s="72"/>
      <c r="CP12" s="72"/>
      <c r="CQ12" s="72"/>
      <c r="CR12" s="72"/>
      <c r="CS12" s="72"/>
      <c r="CT12" s="72"/>
      <c r="CU12" s="72"/>
      <c r="CV12" s="72"/>
      <c r="CW12" s="72"/>
      <c r="CX12" s="72"/>
      <c r="CY12" s="72"/>
    </row>
    <row r="13" spans="1:103" s="6" customFormat="1" ht="15" thickBot="1" x14ac:dyDescent="0.4">
      <c r="A13" s="73" t="s">
        <v>126</v>
      </c>
      <c r="B13" s="48" t="e">
        <f t="shared" si="0"/>
        <v>#DIV/0!</v>
      </c>
      <c r="C13" s="77"/>
      <c r="D13" s="36"/>
      <c r="E13" s="36"/>
      <c r="F13" s="36"/>
      <c r="G13" s="36"/>
      <c r="H13" s="37">
        <f>SUM(Table723624[[#This Row],[&lt; 2]:[&gt;12]])</f>
        <v>0</v>
      </c>
      <c r="I13" s="38">
        <f>SUM(Table723624[[#This Row],[VP - 1]:[VP - 54]])</f>
        <v>0</v>
      </c>
      <c r="J13" s="74" t="str">
        <f>IFERROR(VLOOKUP(Table723624[[#This Row],[Species]],'VP1'!$C:$I,7,FALSE),"")</f>
        <v/>
      </c>
      <c r="K13" s="74" t="str">
        <f>IFERROR(VLOOKUP(Table723624[[#This Row],[Species]],'VP2'!$C:$I,7,FALSE),"")</f>
        <v/>
      </c>
      <c r="L13" s="74"/>
      <c r="M13" s="74"/>
      <c r="N13" s="74"/>
      <c r="O13" s="74"/>
      <c r="P13" s="88"/>
      <c r="Q13" s="66"/>
      <c r="R13" s="66"/>
      <c r="S13" s="66"/>
      <c r="T13" s="66"/>
      <c r="U13" s="66"/>
      <c r="V13" s="66"/>
      <c r="W13" s="66"/>
      <c r="X13" s="122"/>
      <c r="Y13" s="122"/>
      <c r="Z13" s="122"/>
      <c r="AA13" s="66"/>
      <c r="AB13" s="66"/>
      <c r="AC13" s="66"/>
      <c r="AD13" s="66"/>
      <c r="AE13" s="89"/>
      <c r="AF13" s="89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72"/>
      <c r="BM13" s="72"/>
      <c r="BN13" s="72"/>
      <c r="BO13" s="72"/>
      <c r="BP13" s="72"/>
      <c r="BQ13" s="72"/>
      <c r="BR13" s="72"/>
      <c r="BS13" s="72"/>
      <c r="BT13" s="72"/>
      <c r="BU13" s="72"/>
      <c r="BV13" s="72"/>
      <c r="BW13" s="72"/>
      <c r="BX13" s="72"/>
      <c r="BY13" s="72"/>
      <c r="BZ13" s="72"/>
      <c r="CA13" s="72"/>
      <c r="CB13" s="72"/>
      <c r="CC13" s="72"/>
      <c r="CD13" s="72"/>
      <c r="CE13" s="72"/>
      <c r="CF13" s="72"/>
      <c r="CG13" s="72"/>
      <c r="CH13" s="72"/>
      <c r="CI13" s="72"/>
      <c r="CJ13" s="72"/>
      <c r="CK13" s="72"/>
      <c r="CL13" s="72"/>
      <c r="CM13" s="72"/>
      <c r="CN13" s="72"/>
      <c r="CO13" s="72"/>
      <c r="CP13" s="72"/>
      <c r="CQ13" s="72"/>
      <c r="CR13" s="72"/>
      <c r="CS13" s="72"/>
      <c r="CT13" s="72"/>
      <c r="CU13" s="72"/>
      <c r="CV13" s="72"/>
      <c r="CW13" s="72"/>
      <c r="CX13" s="72"/>
      <c r="CY13" s="72"/>
    </row>
    <row r="14" spans="1:103" s="40" customFormat="1" ht="15" thickBot="1" x14ac:dyDescent="0.4">
      <c r="A14" s="73" t="s">
        <v>76</v>
      </c>
      <c r="B14" s="48" t="e">
        <f t="shared" si="0"/>
        <v>#DIV/0!</v>
      </c>
      <c r="C14" s="74"/>
      <c r="D14" s="36"/>
      <c r="E14" s="36"/>
      <c r="F14" s="36"/>
      <c r="G14" s="36"/>
      <c r="H14" s="37">
        <f>SUM(Table723624[[#This Row],[&lt; 2]:[&gt;12]])</f>
        <v>0</v>
      </c>
      <c r="I14" s="38">
        <f>SUM(Table723624[[#This Row],[VP - 1]:[VP - 54]])</f>
        <v>0</v>
      </c>
      <c r="J14" s="74" t="str">
        <f>IFERROR(VLOOKUP(Table723624[[#This Row],[Species]],'VP1'!$C:$I,7,FALSE),"")</f>
        <v/>
      </c>
      <c r="K14" s="74" t="str">
        <f>IFERROR(VLOOKUP(Table723624[[#This Row],[Species]],'VP2'!$C:$I,7,FALSE),"")</f>
        <v/>
      </c>
      <c r="L14" s="74"/>
      <c r="M14" s="74"/>
      <c r="N14" s="74"/>
      <c r="O14" s="74"/>
      <c r="P14" s="88"/>
      <c r="Q14" s="66"/>
      <c r="R14" s="66"/>
      <c r="S14" s="66"/>
      <c r="T14" s="66"/>
      <c r="U14" s="66"/>
      <c r="V14" s="66"/>
      <c r="W14" s="66"/>
      <c r="X14" s="122"/>
      <c r="Y14" s="122"/>
      <c r="Z14" s="122"/>
      <c r="AA14" s="66"/>
      <c r="AB14" s="66"/>
      <c r="AC14" s="66"/>
      <c r="AD14" s="66"/>
      <c r="AE14" s="89"/>
      <c r="AF14" s="89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/>
      <c r="CW14" s="72"/>
      <c r="CX14" s="72"/>
      <c r="CY14" s="72"/>
    </row>
    <row r="15" spans="1:103" s="40" customFormat="1" ht="15" thickBot="1" x14ac:dyDescent="0.4">
      <c r="A15" s="73" t="s">
        <v>97</v>
      </c>
      <c r="B15" s="48" t="e">
        <f t="shared" si="0"/>
        <v>#DIV/0!</v>
      </c>
      <c r="C15" s="74"/>
      <c r="D15" s="36"/>
      <c r="E15" s="36"/>
      <c r="F15" s="36"/>
      <c r="G15" s="36"/>
      <c r="H15" s="37">
        <f>SUM(Table723624[[#This Row],[&lt; 2]:[&gt;12]])</f>
        <v>0</v>
      </c>
      <c r="I15" s="38">
        <f>SUM(Table723624[[#This Row],[VP - 1]:[VP - 54]])</f>
        <v>0</v>
      </c>
      <c r="J15" s="74" t="str">
        <f>IFERROR(VLOOKUP(Table723624[[#This Row],[Species]],'VP1'!$C:$I,7,FALSE),"")</f>
        <v/>
      </c>
      <c r="K15" s="74" t="str">
        <f>IFERROR(VLOOKUP(Table723624[[#This Row],[Species]],'VP2'!$C:$I,7,FALSE),"")</f>
        <v/>
      </c>
      <c r="L15" s="74"/>
      <c r="M15" s="74"/>
      <c r="N15" s="74"/>
      <c r="O15" s="74"/>
      <c r="P15" s="88"/>
      <c r="Q15" s="92"/>
      <c r="R15" s="92"/>
      <c r="S15" s="92"/>
      <c r="T15" s="92"/>
      <c r="U15" s="92"/>
      <c r="V15" s="92"/>
      <c r="W15" s="93"/>
      <c r="X15" s="122"/>
      <c r="Y15" s="122"/>
      <c r="Z15" s="122"/>
      <c r="AA15" s="92"/>
      <c r="AB15" s="92"/>
      <c r="AC15" s="92"/>
      <c r="AD15" s="92"/>
      <c r="AE15" s="94"/>
      <c r="AF15" s="94"/>
      <c r="AG15" s="94"/>
      <c r="AH15" s="94"/>
      <c r="AI15" s="94"/>
      <c r="AJ15" s="94"/>
      <c r="AK15" s="95"/>
      <c r="AL15" s="94"/>
      <c r="AM15" s="95"/>
      <c r="AN15" s="94"/>
      <c r="AO15" s="94"/>
      <c r="AP15" s="95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72"/>
      <c r="BM15" s="72"/>
      <c r="BN15" s="72"/>
      <c r="BO15" s="72"/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/>
      <c r="CV15" s="72"/>
      <c r="CW15" s="72"/>
      <c r="CX15" s="72"/>
      <c r="CY15" s="72"/>
    </row>
    <row r="16" spans="1:103" s="40" customFormat="1" ht="15" thickBot="1" x14ac:dyDescent="0.4">
      <c r="A16" s="76" t="s">
        <v>96</v>
      </c>
      <c r="B16" s="28" t="e">
        <f t="shared" si="0"/>
        <v>#DIV/0!</v>
      </c>
      <c r="C16" s="83"/>
      <c r="D16" s="50"/>
      <c r="E16" s="50"/>
      <c r="F16" s="50"/>
      <c r="G16" s="50"/>
      <c r="H16" s="112">
        <f>SUM(Table723624[[#This Row],[&lt; 2]:[&gt;12]])</f>
        <v>0</v>
      </c>
      <c r="I16" s="29">
        <f>SUM(Table723624[[#This Row],[VP - 1]:[VP - 54]])</f>
        <v>0</v>
      </c>
      <c r="J16" s="61" t="str">
        <f>IFERROR(VLOOKUP(Table723624[[#This Row],[Species]],'VP1'!$C:$I,7,FALSE),"")</f>
        <v/>
      </c>
      <c r="K16" s="61" t="str">
        <f>IFERROR(VLOOKUP(Table723624[[#This Row],[Species]],'VP2'!$C:$I,7,FALSE),"")</f>
        <v/>
      </c>
      <c r="L16" s="61"/>
      <c r="M16" s="61"/>
      <c r="N16" s="61"/>
      <c r="O16" s="61"/>
      <c r="P16" s="86"/>
      <c r="Q16" s="87"/>
      <c r="R16" s="87"/>
      <c r="S16" s="87"/>
      <c r="T16" s="87"/>
      <c r="U16" s="87"/>
      <c r="V16" s="87"/>
      <c r="W16" s="87"/>
      <c r="X16" s="121"/>
      <c r="Y16" s="121"/>
      <c r="Z16" s="121"/>
      <c r="AA16" s="87"/>
      <c r="AB16" s="87"/>
      <c r="AC16" s="87"/>
      <c r="AD16" s="87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72"/>
      <c r="BM16" s="72"/>
      <c r="BN16" s="72"/>
      <c r="BO16" s="72"/>
      <c r="BP16" s="72"/>
      <c r="BQ16" s="72"/>
      <c r="BR16" s="72"/>
      <c r="BS16" s="72"/>
      <c r="BT16" s="72"/>
      <c r="BU16" s="72"/>
      <c r="BV16" s="72"/>
      <c r="BW16" s="72"/>
      <c r="BX16" s="72"/>
      <c r="BY16" s="72"/>
      <c r="BZ16" s="72"/>
      <c r="CA16" s="72"/>
      <c r="CB16" s="72"/>
      <c r="CC16" s="72"/>
      <c r="CD16" s="72"/>
      <c r="CE16" s="72"/>
      <c r="CF16" s="72"/>
      <c r="CG16" s="72"/>
      <c r="CH16" s="72"/>
      <c r="CI16" s="72"/>
      <c r="CJ16" s="72"/>
      <c r="CK16" s="72"/>
      <c r="CL16" s="72"/>
      <c r="CM16" s="72"/>
      <c r="CN16" s="72"/>
      <c r="CO16" s="72"/>
      <c r="CP16" s="72"/>
      <c r="CQ16" s="72"/>
      <c r="CR16" s="72"/>
      <c r="CS16" s="72"/>
      <c r="CT16" s="72"/>
      <c r="CU16" s="72"/>
      <c r="CV16" s="72"/>
      <c r="CW16" s="72"/>
      <c r="CX16" s="72"/>
      <c r="CY16" s="72"/>
    </row>
    <row r="17" spans="1:103" s="6" customFormat="1" ht="15" thickBot="1" x14ac:dyDescent="0.4">
      <c r="A17" s="76" t="s">
        <v>14</v>
      </c>
      <c r="B17" s="28" t="e">
        <f t="shared" si="0"/>
        <v>#DIV/0!</v>
      </c>
      <c r="C17" s="78"/>
      <c r="D17" s="50"/>
      <c r="E17" s="50"/>
      <c r="F17" s="50"/>
      <c r="G17" s="50"/>
      <c r="H17" s="112">
        <f>SUM(Table723624[[#This Row],[&lt; 2]:[&gt;12]])</f>
        <v>0</v>
      </c>
      <c r="I17" s="29">
        <f>SUM(Table723624[[#This Row],[VP - 1]:[VP - 54]])</f>
        <v>0</v>
      </c>
      <c r="J17" s="61" t="str">
        <f>IFERROR(VLOOKUP(Table723624[[#This Row],[Species]],'VP1'!$C:$I,7,FALSE),"")</f>
        <v/>
      </c>
      <c r="K17" s="61" t="str">
        <f>IFERROR(VLOOKUP(Table723624[[#This Row],[Species]],'VP2'!$C:$I,7,FALSE),"")</f>
        <v/>
      </c>
      <c r="L17" s="61"/>
      <c r="M17" s="61"/>
      <c r="N17" s="61"/>
      <c r="O17" s="61"/>
      <c r="P17" s="86"/>
      <c r="Q17" s="87"/>
      <c r="R17" s="87"/>
      <c r="S17" s="87"/>
      <c r="T17" s="87"/>
      <c r="U17" s="87"/>
      <c r="V17" s="87"/>
      <c r="W17" s="87"/>
      <c r="X17" s="121"/>
      <c r="Y17" s="121"/>
      <c r="Z17" s="121"/>
      <c r="AA17" s="87"/>
      <c r="AB17" s="87"/>
      <c r="AC17" s="87"/>
      <c r="AD17" s="87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72"/>
      <c r="BM17" s="72"/>
      <c r="BN17" s="72"/>
      <c r="BO17" s="72"/>
      <c r="BP17" s="72"/>
      <c r="BQ17" s="72"/>
      <c r="BR17" s="72"/>
      <c r="BS17" s="72"/>
      <c r="BT17" s="72"/>
      <c r="BU17" s="72"/>
      <c r="BV17" s="72"/>
      <c r="BW17" s="72"/>
      <c r="BX17" s="72"/>
      <c r="BY17" s="72"/>
      <c r="BZ17" s="72"/>
      <c r="CA17" s="72"/>
      <c r="CB17" s="72"/>
      <c r="CC17" s="72"/>
      <c r="CD17" s="72"/>
      <c r="CE17" s="72"/>
      <c r="CF17" s="72"/>
      <c r="CG17" s="72"/>
      <c r="CH17" s="72"/>
      <c r="CI17" s="72"/>
      <c r="CJ17" s="72"/>
      <c r="CK17" s="72"/>
      <c r="CL17" s="72"/>
      <c r="CM17" s="72"/>
      <c r="CN17" s="72"/>
      <c r="CO17" s="72"/>
      <c r="CP17" s="72"/>
      <c r="CQ17" s="72"/>
      <c r="CR17" s="72"/>
      <c r="CS17" s="72"/>
      <c r="CT17" s="72"/>
      <c r="CU17" s="72"/>
      <c r="CV17" s="72"/>
      <c r="CW17" s="72"/>
      <c r="CX17" s="72"/>
      <c r="CY17" s="72"/>
    </row>
    <row r="18" spans="1:103" s="40" customFormat="1" ht="15" thickBot="1" x14ac:dyDescent="0.4">
      <c r="A18" s="73" t="s">
        <v>77</v>
      </c>
      <c r="B18" s="48" t="e">
        <f t="shared" si="0"/>
        <v>#DIV/0!</v>
      </c>
      <c r="C18" s="74"/>
      <c r="D18" s="36"/>
      <c r="E18" s="36"/>
      <c r="F18" s="36"/>
      <c r="G18" s="36"/>
      <c r="H18" s="37">
        <f>SUM(Table723624[[#This Row],[&lt; 2]:[&gt;12]])</f>
        <v>0</v>
      </c>
      <c r="I18" s="38">
        <f>SUM(Table723624[[#This Row],[VP - 1]:[VP - 54]])</f>
        <v>0</v>
      </c>
      <c r="J18" s="74" t="str">
        <f>IFERROR(VLOOKUP(Table723624[[#This Row],[Species]],'VP1'!$C:$I,7,FALSE),"")</f>
        <v/>
      </c>
      <c r="K18" s="74" t="str">
        <f>IFERROR(VLOOKUP(Table723624[[#This Row],[Species]],'VP2'!$C:$I,7,FALSE),"")</f>
        <v/>
      </c>
      <c r="L18" s="74"/>
      <c r="M18" s="74"/>
      <c r="N18" s="74"/>
      <c r="O18" s="74"/>
      <c r="P18" s="88"/>
      <c r="Q18" s="66"/>
      <c r="R18" s="66"/>
      <c r="S18" s="66"/>
      <c r="T18" s="66"/>
      <c r="U18" s="66"/>
      <c r="V18" s="66"/>
      <c r="W18" s="66"/>
      <c r="X18" s="122"/>
      <c r="Y18" s="122"/>
      <c r="Z18" s="122"/>
      <c r="AA18" s="66"/>
      <c r="AB18" s="66"/>
      <c r="AC18" s="66"/>
      <c r="AD18" s="66"/>
      <c r="AE18" s="89"/>
      <c r="AF18" s="89"/>
      <c r="AG18" s="89"/>
      <c r="AH18" s="89"/>
      <c r="AI18" s="89"/>
      <c r="AJ18" s="89"/>
      <c r="AK18" s="89"/>
      <c r="AL18" s="89"/>
      <c r="AM18" s="89"/>
      <c r="AN18" s="89"/>
      <c r="AO18" s="89"/>
      <c r="AP18" s="8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72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  <c r="CV18" s="72"/>
      <c r="CW18" s="72"/>
      <c r="CX18" s="72"/>
      <c r="CY18" s="72"/>
    </row>
    <row r="19" spans="1:103" s="41" customFormat="1" ht="15" thickBot="1" x14ac:dyDescent="0.4">
      <c r="A19" s="76" t="s">
        <v>116</v>
      </c>
      <c r="B19" s="28" t="e">
        <f t="shared" si="0"/>
        <v>#DIV/0!</v>
      </c>
      <c r="C19" s="61"/>
      <c r="D19" s="50"/>
      <c r="E19" s="50"/>
      <c r="F19" s="50"/>
      <c r="G19" s="50"/>
      <c r="H19" s="112">
        <f>SUM(Table723624[[#This Row],[&lt; 2]:[&gt;12]])</f>
        <v>0</v>
      </c>
      <c r="I19" s="29">
        <f>SUM(Table723624[[#This Row],[VP - 1]:[VP - 54]])</f>
        <v>0</v>
      </c>
      <c r="J19" s="61" t="str">
        <f>IFERROR(VLOOKUP(Table723624[[#This Row],[Species]],'VP1'!$C:$I,7,FALSE),"")</f>
        <v/>
      </c>
      <c r="K19" s="61" t="str">
        <f>IFERROR(VLOOKUP(Table723624[[#This Row],[Species]],'VP2'!$C:$I,7,FALSE),"")</f>
        <v/>
      </c>
      <c r="L19" s="61"/>
      <c r="M19" s="61"/>
      <c r="N19" s="61"/>
      <c r="O19" s="61"/>
      <c r="P19" s="86"/>
      <c r="Q19" s="90"/>
      <c r="R19" s="90"/>
      <c r="S19" s="90"/>
      <c r="T19" s="90"/>
      <c r="U19" s="90"/>
      <c r="V19" s="90"/>
      <c r="W19" s="90"/>
      <c r="X19" s="121"/>
      <c r="Y19" s="121"/>
      <c r="Z19" s="121"/>
      <c r="AA19" s="90"/>
      <c r="AB19" s="90"/>
      <c r="AC19" s="90"/>
      <c r="AD19" s="90"/>
      <c r="AE19" s="91"/>
      <c r="AF19" s="91"/>
      <c r="AG19" s="91"/>
      <c r="AH19" s="91"/>
      <c r="AI19" s="91"/>
      <c r="AJ19" s="91"/>
      <c r="AK19" s="91"/>
      <c r="AL19" s="91"/>
      <c r="AM19" s="91"/>
      <c r="AN19" s="91"/>
      <c r="AO19" s="91"/>
      <c r="AP19" s="91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17"/>
      <c r="BM19" s="117"/>
      <c r="BN19" s="117"/>
      <c r="BO19" s="117"/>
      <c r="BP19" s="117"/>
      <c r="BQ19" s="117"/>
      <c r="BR19" s="117"/>
      <c r="BS19" s="117"/>
      <c r="BT19" s="117"/>
      <c r="BU19" s="117"/>
      <c r="BV19" s="117"/>
      <c r="BW19" s="117"/>
      <c r="BX19" s="117"/>
      <c r="BY19" s="117"/>
      <c r="BZ19" s="117"/>
      <c r="CA19" s="117"/>
      <c r="CB19" s="117"/>
      <c r="CC19" s="117"/>
      <c r="CD19" s="117"/>
      <c r="CE19" s="117"/>
      <c r="CF19" s="117"/>
      <c r="CG19" s="117"/>
      <c r="CH19" s="117"/>
      <c r="CI19" s="117"/>
      <c r="CJ19" s="117"/>
      <c r="CK19" s="117"/>
      <c r="CL19" s="117"/>
      <c r="CM19" s="117"/>
      <c r="CN19" s="117"/>
      <c r="CO19" s="117"/>
      <c r="CP19" s="117"/>
      <c r="CQ19" s="117"/>
      <c r="CR19" s="117"/>
      <c r="CS19" s="117"/>
      <c r="CT19" s="117"/>
      <c r="CU19" s="117"/>
      <c r="CV19" s="117"/>
      <c r="CW19" s="117"/>
      <c r="CX19" s="117"/>
      <c r="CY19" s="117"/>
    </row>
    <row r="20" spans="1:103" s="6" customFormat="1" ht="15" thickBot="1" x14ac:dyDescent="0.4">
      <c r="A20" s="73" t="s">
        <v>13</v>
      </c>
      <c r="B20" s="48" t="e">
        <f t="shared" si="0"/>
        <v>#DIV/0!</v>
      </c>
      <c r="C20" s="74"/>
      <c r="D20" s="36"/>
      <c r="E20" s="36"/>
      <c r="F20" s="36"/>
      <c r="G20" s="36"/>
      <c r="H20" s="37">
        <f>SUM(Table723624[[#This Row],[&lt; 2]:[&gt;12]])</f>
        <v>0</v>
      </c>
      <c r="I20" s="38">
        <f>SUM(Table723624[[#This Row],[VP - 1]:[VP - 54]])</f>
        <v>0</v>
      </c>
      <c r="J20" s="74" t="str">
        <f>IFERROR(VLOOKUP(Table723624[[#This Row],[Species]],'VP1'!$C:$I,7,FALSE),"")</f>
        <v/>
      </c>
      <c r="K20" s="74" t="str">
        <f>IFERROR(VLOOKUP(Table723624[[#This Row],[Species]],'VP2'!$C:$I,7,FALSE),"")</f>
        <v/>
      </c>
      <c r="L20" s="74"/>
      <c r="M20" s="74"/>
      <c r="N20" s="74"/>
      <c r="O20" s="74"/>
      <c r="P20" s="88"/>
      <c r="Q20" s="66"/>
      <c r="R20" s="66"/>
      <c r="S20" s="66"/>
      <c r="T20" s="66"/>
      <c r="U20" s="66"/>
      <c r="V20" s="66"/>
      <c r="W20" s="66"/>
      <c r="X20" s="122"/>
      <c r="Y20" s="122"/>
      <c r="Z20" s="122"/>
      <c r="AA20" s="66"/>
      <c r="AB20" s="66"/>
      <c r="AC20" s="66"/>
      <c r="AD20" s="66"/>
      <c r="AE20" s="89"/>
      <c r="AF20" s="66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  <c r="CV20" s="72"/>
      <c r="CW20" s="72"/>
      <c r="CX20" s="72"/>
      <c r="CY20" s="72"/>
    </row>
    <row r="21" spans="1:103" s="6" customFormat="1" ht="15" thickBot="1" x14ac:dyDescent="0.4">
      <c r="A21" s="73" t="s">
        <v>4</v>
      </c>
      <c r="B21" s="48" t="e">
        <f t="shared" si="0"/>
        <v>#DIV/0!</v>
      </c>
      <c r="C21" s="74"/>
      <c r="D21" s="36"/>
      <c r="E21" s="36"/>
      <c r="F21" s="36"/>
      <c r="G21" s="36"/>
      <c r="H21" s="37">
        <f>SUM(Table723624[[#This Row],[&lt; 2]:[&gt;12]])</f>
        <v>0</v>
      </c>
      <c r="I21" s="38">
        <f>SUM(Table723624[[#This Row],[VP - 1]:[VP - 54]])</f>
        <v>0</v>
      </c>
      <c r="J21" s="74" t="str">
        <f>IFERROR(VLOOKUP(Table723624[[#This Row],[Species]],'VP1'!$C:$I,7,FALSE),"")</f>
        <v/>
      </c>
      <c r="K21" s="74" t="str">
        <f>IFERROR(VLOOKUP(Table723624[[#This Row],[Species]],'VP2'!$C:$I,7,FALSE),"")</f>
        <v/>
      </c>
      <c r="L21" s="74"/>
      <c r="M21" s="74"/>
      <c r="N21" s="74"/>
      <c r="O21" s="74"/>
      <c r="P21" s="88"/>
      <c r="Q21" s="66"/>
      <c r="R21" s="66"/>
      <c r="S21" s="66"/>
      <c r="T21" s="66"/>
      <c r="U21" s="66"/>
      <c r="V21" s="66"/>
      <c r="W21" s="66"/>
      <c r="X21" s="122"/>
      <c r="Y21" s="122"/>
      <c r="Z21" s="122"/>
      <c r="AA21" s="66"/>
      <c r="AB21" s="66"/>
      <c r="AC21" s="66"/>
      <c r="AD21" s="66"/>
      <c r="AE21" s="66"/>
      <c r="AF21" s="66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72"/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  <c r="CV21" s="72"/>
      <c r="CW21" s="72"/>
      <c r="CX21" s="72"/>
      <c r="CY21" s="72"/>
    </row>
    <row r="22" spans="1:103" s="40" customFormat="1" ht="15" thickBot="1" x14ac:dyDescent="0.4">
      <c r="A22" s="76" t="s">
        <v>92</v>
      </c>
      <c r="B22" s="28" t="e">
        <f t="shared" si="0"/>
        <v>#DIV/0!</v>
      </c>
      <c r="C22" s="61"/>
      <c r="D22" s="50"/>
      <c r="E22" s="50"/>
      <c r="F22" s="50"/>
      <c r="G22" s="50"/>
      <c r="H22" s="112">
        <f>SUM(Table723624[[#This Row],[&lt; 2]:[&gt;12]])</f>
        <v>0</v>
      </c>
      <c r="I22" s="29">
        <f>SUM(Table723624[[#This Row],[VP - 1]:[VP - 54]])</f>
        <v>0</v>
      </c>
      <c r="J22" s="61" t="str">
        <f>IFERROR(VLOOKUP(Table723624[[#This Row],[Species]],'VP1'!$C:$I,7,FALSE),"")</f>
        <v/>
      </c>
      <c r="K22" s="61" t="str">
        <f>IFERROR(VLOOKUP(Table723624[[#This Row],[Species]],'VP2'!$C:$I,7,FALSE),"")</f>
        <v/>
      </c>
      <c r="L22" s="61"/>
      <c r="M22" s="61"/>
      <c r="N22" s="61"/>
      <c r="O22" s="61"/>
      <c r="P22" s="86"/>
      <c r="Q22" s="90"/>
      <c r="R22" s="90"/>
      <c r="S22" s="90"/>
      <c r="T22" s="90"/>
      <c r="U22" s="90"/>
      <c r="V22" s="90"/>
      <c r="W22" s="90"/>
      <c r="X22" s="121"/>
      <c r="Y22" s="121"/>
      <c r="Z22" s="121"/>
      <c r="AA22" s="90"/>
      <c r="AB22" s="90"/>
      <c r="AC22" s="90"/>
      <c r="AD22" s="90"/>
      <c r="AE22" s="91"/>
      <c r="AF22" s="91"/>
      <c r="AG22" s="91"/>
      <c r="AH22" s="91"/>
      <c r="AI22" s="91"/>
      <c r="AJ22" s="91"/>
      <c r="AK22" s="91"/>
      <c r="AL22" s="91"/>
      <c r="AM22" s="91"/>
      <c r="AN22" s="91"/>
      <c r="AO22" s="91"/>
      <c r="AP22" s="91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  <c r="CV22" s="72"/>
      <c r="CW22" s="72"/>
      <c r="CX22" s="72"/>
      <c r="CY22" s="72"/>
    </row>
    <row r="23" spans="1:103" s="6" customFormat="1" ht="15" thickBot="1" x14ac:dyDescent="0.4">
      <c r="A23" s="73" t="s">
        <v>3</v>
      </c>
      <c r="B23" s="48" t="e">
        <f t="shared" si="0"/>
        <v>#DIV/0!</v>
      </c>
      <c r="C23" s="74"/>
      <c r="D23" s="36"/>
      <c r="E23" s="36"/>
      <c r="F23" s="36"/>
      <c r="G23" s="36"/>
      <c r="H23" s="37">
        <f>SUM(Table723624[[#This Row],[&lt; 2]:[&gt;12]])</f>
        <v>0</v>
      </c>
      <c r="I23" s="38">
        <f>SUM(Table723624[[#This Row],[VP - 1]:[VP - 54]])</f>
        <v>0</v>
      </c>
      <c r="J23" s="74" t="str">
        <f>IFERROR(VLOOKUP(Table723624[[#This Row],[Species]],'VP1'!$C:$I,7,FALSE),"")</f>
        <v/>
      </c>
      <c r="K23" s="74" t="str">
        <f>IFERROR(VLOOKUP(Table723624[[#This Row],[Species]],'VP2'!$C:$I,7,FALSE),"")</f>
        <v/>
      </c>
      <c r="L23" s="74"/>
      <c r="M23" s="74"/>
      <c r="N23" s="74"/>
      <c r="O23" s="74"/>
      <c r="P23" s="88"/>
      <c r="Q23" s="66"/>
      <c r="R23" s="66"/>
      <c r="S23" s="66"/>
      <c r="T23" s="66"/>
      <c r="U23" s="66"/>
      <c r="V23" s="66"/>
      <c r="W23" s="66"/>
      <c r="X23" s="122"/>
      <c r="Y23" s="122"/>
      <c r="Z23" s="122"/>
      <c r="AA23" s="66"/>
      <c r="AB23" s="66"/>
      <c r="AC23" s="66"/>
      <c r="AD23" s="66"/>
      <c r="AE23" s="89"/>
      <c r="AF23" s="89"/>
      <c r="AG23" s="89"/>
      <c r="AH23" s="89"/>
      <c r="AI23" s="89"/>
      <c r="AJ23" s="89"/>
      <c r="AK23" s="89"/>
      <c r="AL23" s="89"/>
      <c r="AM23" s="89"/>
      <c r="AN23" s="89"/>
      <c r="AO23" s="89"/>
      <c r="AP23" s="8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  <c r="CV23" s="72"/>
      <c r="CW23" s="72"/>
      <c r="CX23" s="72"/>
      <c r="CY23" s="72"/>
    </row>
    <row r="24" spans="1:103" s="40" customFormat="1" ht="15" thickBot="1" x14ac:dyDescent="0.4">
      <c r="A24" s="76" t="s">
        <v>85</v>
      </c>
      <c r="B24" s="28" t="e">
        <f t="shared" si="0"/>
        <v>#DIV/0!</v>
      </c>
      <c r="C24" s="78"/>
      <c r="D24" s="50"/>
      <c r="E24" s="50"/>
      <c r="F24" s="50"/>
      <c r="G24" s="50"/>
      <c r="H24" s="113">
        <f>SUM(Table723624[[#This Row],[&lt; 2]:[&gt;12]])</f>
        <v>0</v>
      </c>
      <c r="I24" s="29">
        <f>SUM(Table723624[[#This Row],[VP - 1]:[VP - 54]])</f>
        <v>0</v>
      </c>
      <c r="J24" s="61" t="str">
        <f>IFERROR(VLOOKUP(Table723624[[#This Row],[Species]],'VP1'!$C:$I,7,FALSE),"")</f>
        <v/>
      </c>
      <c r="K24" s="61" t="str">
        <f>IFERROR(VLOOKUP(Table723624[[#This Row],[Species]],'VP2'!$C:$I,7,FALSE),"")</f>
        <v/>
      </c>
      <c r="L24" s="61"/>
      <c r="M24" s="61"/>
      <c r="N24" s="61"/>
      <c r="O24" s="61"/>
      <c r="P24" s="86"/>
      <c r="Q24" s="87"/>
      <c r="R24" s="87"/>
      <c r="S24" s="87"/>
      <c r="T24" s="87"/>
      <c r="U24" s="87"/>
      <c r="V24" s="87"/>
      <c r="W24" s="87"/>
      <c r="X24" s="121"/>
      <c r="Y24" s="121"/>
      <c r="Z24" s="121"/>
      <c r="AA24" s="87"/>
      <c r="AB24" s="87"/>
      <c r="AC24" s="87"/>
      <c r="AD24" s="87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  <c r="CV24" s="72"/>
      <c r="CW24" s="72"/>
      <c r="CX24" s="72"/>
      <c r="CY24" s="72"/>
    </row>
    <row r="25" spans="1:103" s="6" customFormat="1" ht="15" thickBot="1" x14ac:dyDescent="0.4">
      <c r="A25" s="76" t="s">
        <v>11</v>
      </c>
      <c r="B25" s="28" t="e">
        <f t="shared" si="0"/>
        <v>#DIV/0!</v>
      </c>
      <c r="C25" s="61"/>
      <c r="D25" s="50"/>
      <c r="E25" s="50"/>
      <c r="F25" s="50"/>
      <c r="G25" s="50"/>
      <c r="H25" s="112">
        <f>SUM(Table723624[[#This Row],[&lt; 2]:[&gt;12]])</f>
        <v>0</v>
      </c>
      <c r="I25" s="29">
        <f>SUM(Table723624[[#This Row],[VP - 1]:[VP - 54]])</f>
        <v>0</v>
      </c>
      <c r="J25" s="61" t="str">
        <f>IFERROR(VLOOKUP(Table723624[[#This Row],[Species]],'VP1'!$C:$I,7,FALSE),"")</f>
        <v/>
      </c>
      <c r="K25" s="61" t="str">
        <f>IFERROR(VLOOKUP(Table723624[[#This Row],[Species]],'VP2'!$C:$I,7,FALSE),"")</f>
        <v/>
      </c>
      <c r="L25" s="61"/>
      <c r="M25" s="61"/>
      <c r="N25" s="61"/>
      <c r="O25" s="61"/>
      <c r="P25" s="86"/>
      <c r="Q25" s="87"/>
      <c r="R25" s="87"/>
      <c r="S25" s="87"/>
      <c r="T25" s="87"/>
      <c r="U25" s="87"/>
      <c r="V25" s="87"/>
      <c r="W25" s="87"/>
      <c r="X25" s="121"/>
      <c r="Y25" s="121"/>
      <c r="Z25" s="121"/>
      <c r="AA25" s="87"/>
      <c r="AB25" s="87"/>
      <c r="AC25" s="87"/>
      <c r="AD25" s="87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  <c r="CV25" s="72"/>
      <c r="CW25" s="72"/>
      <c r="CX25" s="72"/>
      <c r="CY25" s="72"/>
    </row>
    <row r="26" spans="1:103" s="6" customFormat="1" ht="15" thickBot="1" x14ac:dyDescent="0.4">
      <c r="A26" s="73" t="s">
        <v>115</v>
      </c>
      <c r="B26" s="48" t="e">
        <f t="shared" si="0"/>
        <v>#DIV/0!</v>
      </c>
      <c r="C26" s="74"/>
      <c r="D26" s="36"/>
      <c r="E26" s="36"/>
      <c r="F26" s="36"/>
      <c r="G26" s="36"/>
      <c r="H26" s="139">
        <f>SUM(Table723624[[#This Row],[&lt; 2]:[&gt;12]])</f>
        <v>0</v>
      </c>
      <c r="I26" s="38">
        <f>SUM(Table723624[[#This Row],[VP - 1]:[VP - 54]])</f>
        <v>0</v>
      </c>
      <c r="J26" s="74" t="str">
        <f>IFERROR(VLOOKUP(Table723624[[#This Row],[Species]],'VP1'!$C:$I,7,FALSE),"")</f>
        <v/>
      </c>
      <c r="K26" s="74" t="str">
        <f>IFERROR(VLOOKUP(Table723624[[#This Row],[Species]],'VP2'!$C:$I,7,FALSE),"")</f>
        <v/>
      </c>
      <c r="L26" s="74"/>
      <c r="M26" s="74"/>
      <c r="N26" s="74"/>
      <c r="O26" s="74"/>
      <c r="P26" s="88"/>
      <c r="Q26" s="66"/>
      <c r="R26" s="66"/>
      <c r="S26" s="66"/>
      <c r="T26" s="66"/>
      <c r="U26" s="66"/>
      <c r="V26" s="66"/>
      <c r="W26" s="66"/>
      <c r="X26" s="122"/>
      <c r="Y26" s="122"/>
      <c r="Z26" s="122"/>
      <c r="AA26" s="66"/>
      <c r="AB26" s="66"/>
      <c r="AC26" s="66"/>
      <c r="AD26" s="66"/>
      <c r="AE26" s="89"/>
      <c r="AF26" s="89"/>
      <c r="AG26" s="89"/>
      <c r="AH26" s="89"/>
      <c r="AI26" s="89"/>
      <c r="AJ26" s="89"/>
      <c r="AK26" s="89"/>
      <c r="AL26" s="89"/>
      <c r="AM26" s="89"/>
      <c r="AN26" s="89"/>
      <c r="AO26" s="89"/>
      <c r="AP26" s="8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  <c r="CV26" s="72"/>
      <c r="CW26" s="72"/>
      <c r="CX26" s="72"/>
      <c r="CY26" s="72"/>
    </row>
    <row r="27" spans="1:103" s="40" customFormat="1" ht="15" thickBot="1" x14ac:dyDescent="0.4">
      <c r="A27" s="73" t="s">
        <v>79</v>
      </c>
      <c r="B27" s="48" t="e">
        <f t="shared" si="0"/>
        <v>#DIV/0!</v>
      </c>
      <c r="C27" s="74"/>
      <c r="D27" s="36"/>
      <c r="E27" s="36"/>
      <c r="F27" s="36"/>
      <c r="G27" s="36"/>
      <c r="H27" s="37">
        <f>SUM(Table723624[[#This Row],[&lt; 2]:[&gt;12]])</f>
        <v>0</v>
      </c>
      <c r="I27" s="38">
        <f>SUM(Table723624[[#This Row],[VP - 1]:[VP - 54]])</f>
        <v>0</v>
      </c>
      <c r="J27" s="74" t="str">
        <f>IFERROR(VLOOKUP(Table723624[[#This Row],[Species]],'VP1'!$C:$I,7,FALSE),"")</f>
        <v/>
      </c>
      <c r="K27" s="74" t="str">
        <f>IFERROR(VLOOKUP(Table723624[[#This Row],[Species]],'VP2'!$C:$I,7,FALSE),"")</f>
        <v/>
      </c>
      <c r="L27" s="74"/>
      <c r="M27" s="74"/>
      <c r="N27" s="74"/>
      <c r="O27" s="74"/>
      <c r="P27" s="88"/>
      <c r="Q27" s="66"/>
      <c r="R27" s="66"/>
      <c r="S27" s="66"/>
      <c r="T27" s="66"/>
      <c r="U27" s="66"/>
      <c r="V27" s="66"/>
      <c r="W27" s="66"/>
      <c r="X27" s="122"/>
      <c r="Y27" s="122"/>
      <c r="Z27" s="122"/>
      <c r="AA27" s="66"/>
      <c r="AB27" s="66"/>
      <c r="AC27" s="66"/>
      <c r="AD27" s="66"/>
      <c r="AE27" s="89"/>
      <c r="AF27" s="89"/>
      <c r="AG27" s="89"/>
      <c r="AH27" s="89"/>
      <c r="AI27" s="89"/>
      <c r="AJ27" s="89"/>
      <c r="AK27" s="89"/>
      <c r="AL27" s="89"/>
      <c r="AM27" s="89"/>
      <c r="AN27" s="89"/>
      <c r="AO27" s="89"/>
      <c r="AP27" s="8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72"/>
      <c r="BM27" s="72"/>
      <c r="BN27" s="72"/>
      <c r="BO27" s="72"/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  <c r="CV27" s="72"/>
      <c r="CW27" s="72"/>
      <c r="CX27" s="72"/>
      <c r="CY27" s="72"/>
    </row>
    <row r="28" spans="1:103" s="6" customFormat="1" ht="15" thickBot="1" x14ac:dyDescent="0.4">
      <c r="A28" s="76" t="s">
        <v>10</v>
      </c>
      <c r="B28" s="28" t="e">
        <f t="shared" si="0"/>
        <v>#DIV/0!</v>
      </c>
      <c r="C28" s="61"/>
      <c r="D28" s="50"/>
      <c r="E28" s="50"/>
      <c r="F28" s="50"/>
      <c r="G28" s="50"/>
      <c r="H28" s="112">
        <f>SUM(Table723624[[#This Row],[&lt; 2]:[&gt;12]])</f>
        <v>0</v>
      </c>
      <c r="I28" s="29">
        <f>SUM(Table723624[[#This Row],[VP - 1]:[VP - 54]])</f>
        <v>0</v>
      </c>
      <c r="J28" s="61" t="str">
        <f>IFERROR(VLOOKUP(Table723624[[#This Row],[Species]],'VP1'!$C:$I,7,FALSE),"")</f>
        <v/>
      </c>
      <c r="K28" s="61" t="str">
        <f>IFERROR(VLOOKUP(Table723624[[#This Row],[Species]],'VP2'!$C:$I,7,FALSE),"")</f>
        <v/>
      </c>
      <c r="L28" s="61"/>
      <c r="M28" s="61"/>
      <c r="N28" s="61"/>
      <c r="O28" s="61"/>
      <c r="P28" s="86"/>
      <c r="Q28" s="87"/>
      <c r="R28" s="87"/>
      <c r="S28" s="87"/>
      <c r="T28" s="87"/>
      <c r="U28" s="87"/>
      <c r="V28" s="87"/>
      <c r="W28" s="87"/>
      <c r="X28" s="121"/>
      <c r="Y28" s="121"/>
      <c r="Z28" s="121"/>
      <c r="AA28" s="87"/>
      <c r="AB28" s="87"/>
      <c r="AC28" s="87"/>
      <c r="AD28" s="87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</row>
    <row r="29" spans="1:103" s="6" customFormat="1" ht="15" thickBot="1" x14ac:dyDescent="0.4">
      <c r="A29" s="76" t="s">
        <v>56</v>
      </c>
      <c r="B29" s="28" t="e">
        <f t="shared" si="0"/>
        <v>#DIV/0!</v>
      </c>
      <c r="C29" s="78"/>
      <c r="D29" s="50"/>
      <c r="E29" s="50"/>
      <c r="F29" s="50"/>
      <c r="G29" s="50"/>
      <c r="H29" s="112">
        <f>SUM(Table723624[[#This Row],[&lt; 2]:[&gt;12]])</f>
        <v>0</v>
      </c>
      <c r="I29" s="29">
        <f>SUM(Table723624[[#This Row],[VP - 1]:[VP - 54]])</f>
        <v>0</v>
      </c>
      <c r="J29" s="61" t="str">
        <f>IFERROR(VLOOKUP(Table723624[[#This Row],[Species]],'VP1'!$C:$I,7,FALSE),"")</f>
        <v/>
      </c>
      <c r="K29" s="61" t="str">
        <f>IFERROR(VLOOKUP(Table723624[[#This Row],[Species]],'VP2'!$C:$I,7,FALSE),"")</f>
        <v/>
      </c>
      <c r="L29" s="61"/>
      <c r="M29" s="61"/>
      <c r="N29" s="61"/>
      <c r="O29" s="61"/>
      <c r="P29" s="86"/>
      <c r="Q29" s="87"/>
      <c r="R29" s="87"/>
      <c r="S29" s="87"/>
      <c r="T29" s="87"/>
      <c r="U29" s="87"/>
      <c r="V29" s="87"/>
      <c r="W29" s="87"/>
      <c r="X29" s="121"/>
      <c r="Y29" s="121"/>
      <c r="Z29" s="121"/>
      <c r="AA29" s="87"/>
      <c r="AB29" s="87"/>
      <c r="AC29" s="87"/>
      <c r="AD29" s="87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  <c r="CV29" s="72"/>
      <c r="CW29" s="72"/>
      <c r="CX29" s="72"/>
      <c r="CY29" s="72"/>
    </row>
    <row r="30" spans="1:103" s="40" customFormat="1" ht="15" thickBot="1" x14ac:dyDescent="0.4">
      <c r="A30" s="73" t="s">
        <v>93</v>
      </c>
      <c r="B30" s="48" t="e">
        <f t="shared" si="0"/>
        <v>#DIV/0!</v>
      </c>
      <c r="C30" s="77"/>
      <c r="D30" s="36"/>
      <c r="E30" s="36"/>
      <c r="F30" s="36"/>
      <c r="G30" s="36"/>
      <c r="H30" s="37">
        <f>SUM(Table723624[[#This Row],[&lt; 2]:[&gt;12]])</f>
        <v>0</v>
      </c>
      <c r="I30" s="38">
        <f>SUM(Table723624[[#This Row],[VP - 1]:[VP - 54]])</f>
        <v>0</v>
      </c>
      <c r="J30" s="74" t="str">
        <f>IFERROR(VLOOKUP(Table723624[[#This Row],[Species]],'VP1'!$C:$I,7,FALSE),"")</f>
        <v/>
      </c>
      <c r="K30" s="74" t="str">
        <f>IFERROR(VLOOKUP(Table723624[[#This Row],[Species]],'VP2'!$C:$I,7,FALSE),"")</f>
        <v/>
      </c>
      <c r="L30" s="74"/>
      <c r="M30" s="74"/>
      <c r="N30" s="74"/>
      <c r="O30" s="74"/>
      <c r="P30" s="88"/>
      <c r="Q30" s="66"/>
      <c r="R30" s="66"/>
      <c r="S30" s="66"/>
      <c r="T30" s="66"/>
      <c r="U30" s="66"/>
      <c r="V30" s="66"/>
      <c r="W30" s="66"/>
      <c r="X30" s="122"/>
      <c r="Y30" s="122"/>
      <c r="Z30" s="122"/>
      <c r="AA30" s="66"/>
      <c r="AB30" s="66"/>
      <c r="AC30" s="66"/>
      <c r="AD30" s="66"/>
      <c r="AE30" s="89"/>
      <c r="AF30" s="89"/>
      <c r="AG30" s="89"/>
      <c r="AH30" s="89"/>
      <c r="AI30" s="89"/>
      <c r="AJ30" s="89"/>
      <c r="AK30" s="89"/>
      <c r="AL30" s="89"/>
      <c r="AM30" s="89"/>
      <c r="AN30" s="89"/>
      <c r="AO30" s="89"/>
      <c r="AP30" s="8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H30" s="39"/>
      <c r="BI30" s="39"/>
      <c r="BJ30" s="39"/>
      <c r="BK30" s="39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</row>
    <row r="31" spans="1:103" s="6" customFormat="1" ht="15" thickBot="1" x14ac:dyDescent="0.4">
      <c r="A31" s="76" t="s">
        <v>99</v>
      </c>
      <c r="B31" s="28" t="e">
        <f t="shared" si="0"/>
        <v>#DIV/0!</v>
      </c>
      <c r="C31" s="80"/>
      <c r="D31" s="50"/>
      <c r="E31" s="50"/>
      <c r="F31" s="50"/>
      <c r="G31" s="50"/>
      <c r="H31" s="112">
        <f>SUM(Table723624[[#This Row],[&lt; 2]:[&gt;12]])</f>
        <v>0</v>
      </c>
      <c r="I31" s="29">
        <f>SUM(Table723624[[#This Row],[VP - 1]:[VP - 54]])</f>
        <v>0</v>
      </c>
      <c r="J31" s="80" t="str">
        <f>IFERROR(VLOOKUP(Table723624[[#This Row],[Species]],'VP1'!$C:$I,7,FALSE),"")</f>
        <v/>
      </c>
      <c r="K31" s="80" t="str">
        <f>IFERROR(VLOOKUP(Table723624[[#This Row],[Species]],'VP2'!$C:$I,7,FALSE),"")</f>
        <v/>
      </c>
      <c r="L31" s="61"/>
      <c r="M31" s="61"/>
      <c r="N31" s="61"/>
      <c r="O31" s="61"/>
      <c r="P31" s="86"/>
      <c r="Q31" s="90"/>
      <c r="R31" s="90"/>
      <c r="S31" s="90"/>
      <c r="T31" s="90"/>
      <c r="U31" s="90"/>
      <c r="V31" s="90"/>
      <c r="W31" s="96"/>
      <c r="X31" s="123"/>
      <c r="Y31" s="121"/>
      <c r="Z31" s="121"/>
      <c r="AA31" s="96"/>
      <c r="AB31" s="96"/>
      <c r="AC31" s="96"/>
      <c r="AD31" s="96"/>
      <c r="AE31" s="97"/>
      <c r="AF31" s="97"/>
      <c r="AG31" s="97"/>
      <c r="AH31" s="97"/>
      <c r="AI31" s="97"/>
      <c r="AJ31" s="97"/>
      <c r="AK31" s="97"/>
      <c r="AL31" s="97"/>
      <c r="AM31" s="97"/>
      <c r="AN31" s="97"/>
      <c r="AO31" s="97"/>
      <c r="AP31" s="97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</row>
    <row r="32" spans="1:103" s="40" customFormat="1" ht="15" thickBot="1" x14ac:dyDescent="0.4">
      <c r="A32" s="76" t="s">
        <v>128</v>
      </c>
      <c r="B32" s="28" t="e">
        <f t="shared" si="0"/>
        <v>#DIV/0!</v>
      </c>
      <c r="C32" s="78"/>
      <c r="D32" s="50"/>
      <c r="E32" s="50"/>
      <c r="F32" s="50"/>
      <c r="G32" s="50"/>
      <c r="H32" s="112">
        <f>SUM(Table723624[[#This Row],[&lt; 2]:[&gt;12]])</f>
        <v>0</v>
      </c>
      <c r="I32" s="29">
        <f>SUM(Table723624[[#This Row],[VP - 1]:[VP - 54]])</f>
        <v>0</v>
      </c>
      <c r="J32" s="61" t="str">
        <f>IFERROR(VLOOKUP(Table723624[[#This Row],[Species]],'VP1'!$C:$I,7,FALSE),"")</f>
        <v/>
      </c>
      <c r="K32" s="61" t="str">
        <f>IFERROR(VLOOKUP(Table723624[[#This Row],[Species]],'VP2'!$C:$I,7,FALSE),"")</f>
        <v/>
      </c>
      <c r="L32" s="61"/>
      <c r="M32" s="61"/>
      <c r="N32" s="61"/>
      <c r="O32" s="61"/>
      <c r="P32" s="86"/>
      <c r="Q32" s="87"/>
      <c r="R32" s="87"/>
      <c r="S32" s="87"/>
      <c r="T32" s="87"/>
      <c r="U32" s="87"/>
      <c r="V32" s="87"/>
      <c r="W32" s="87"/>
      <c r="X32" s="121"/>
      <c r="Y32" s="121"/>
      <c r="Z32" s="121"/>
      <c r="AA32" s="87"/>
      <c r="AB32" s="87"/>
      <c r="AC32" s="87"/>
      <c r="AD32" s="87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2"/>
      <c r="CW32" s="72"/>
      <c r="CX32" s="72"/>
      <c r="CY32" s="72"/>
    </row>
    <row r="33" spans="1:103" s="40" customFormat="1" ht="15" thickBot="1" x14ac:dyDescent="0.4">
      <c r="A33" s="73" t="s">
        <v>6</v>
      </c>
      <c r="B33" s="48" t="e">
        <f t="shared" si="0"/>
        <v>#DIV/0!</v>
      </c>
      <c r="C33" s="74"/>
      <c r="D33" s="36"/>
      <c r="E33" s="36"/>
      <c r="F33" s="36"/>
      <c r="G33" s="36"/>
      <c r="H33" s="37">
        <f>SUM(Table723624[[#This Row],[&lt; 2]:[&gt;12]])</f>
        <v>0</v>
      </c>
      <c r="I33" s="38">
        <f>SUM(Table723624[[#This Row],[VP - 1]:[VP - 54]])</f>
        <v>0</v>
      </c>
      <c r="J33" s="74" t="str">
        <f>IFERROR(VLOOKUP(Table723624[[#This Row],[Species]],'VP1'!$C:$I,7,FALSE),"")</f>
        <v/>
      </c>
      <c r="K33" s="74" t="str">
        <f>IFERROR(VLOOKUP(Table723624[[#This Row],[Species]],'VP2'!$C:$I,7,FALSE),"")</f>
        <v/>
      </c>
      <c r="L33" s="74"/>
      <c r="M33" s="74"/>
      <c r="N33" s="74"/>
      <c r="O33" s="74"/>
      <c r="P33" s="88"/>
      <c r="Q33" s="66"/>
      <c r="R33" s="66"/>
      <c r="S33" s="66"/>
      <c r="T33" s="66"/>
      <c r="U33" s="66"/>
      <c r="V33" s="66"/>
      <c r="W33" s="66"/>
      <c r="X33" s="122"/>
      <c r="Y33" s="122"/>
      <c r="Z33" s="122"/>
      <c r="AA33" s="66"/>
      <c r="AB33" s="66"/>
      <c r="AC33" s="66"/>
      <c r="AD33" s="66"/>
      <c r="AE33" s="66"/>
      <c r="AF33" s="66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H33" s="39"/>
      <c r="BI33" s="39"/>
      <c r="BJ33" s="39"/>
      <c r="BK33" s="39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  <c r="CV33" s="72"/>
      <c r="CW33" s="72"/>
      <c r="CX33" s="72"/>
      <c r="CY33" s="72"/>
    </row>
    <row r="34" spans="1:103" s="6" customFormat="1" ht="15" thickBot="1" x14ac:dyDescent="0.4">
      <c r="A34" s="76" t="s">
        <v>153</v>
      </c>
      <c r="B34" s="28" t="e">
        <f t="shared" si="0"/>
        <v>#DIV/0!</v>
      </c>
      <c r="C34" s="80"/>
      <c r="D34" s="50"/>
      <c r="E34" s="50"/>
      <c r="F34" s="50"/>
      <c r="G34" s="50"/>
      <c r="H34" s="112">
        <f>SUM(Table723624[[#This Row],[&lt; 2]:[&gt;12]])</f>
        <v>0</v>
      </c>
      <c r="I34" s="29">
        <f>SUM(Table723624[[#This Row],[VP - 1]:[VP - 54]])</f>
        <v>0</v>
      </c>
      <c r="J34" s="80" t="str">
        <f>IFERROR(VLOOKUP(Table723624[[#This Row],[Species]],'VP1'!$C:$I,7,FALSE),"")</f>
        <v/>
      </c>
      <c r="K34" s="80" t="str">
        <f>IFERROR(VLOOKUP(Table723624[[#This Row],[Species]],'VP2'!$C:$I,7,FALSE),"")</f>
        <v/>
      </c>
      <c r="L34" s="80"/>
      <c r="M34" s="80"/>
      <c r="N34" s="80"/>
      <c r="O34" s="80"/>
      <c r="P34" s="102"/>
      <c r="Q34" s="96"/>
      <c r="R34" s="96"/>
      <c r="S34" s="96"/>
      <c r="T34" s="96"/>
      <c r="U34" s="96"/>
      <c r="V34" s="96"/>
      <c r="W34" s="96"/>
      <c r="X34" s="123"/>
      <c r="Y34" s="123"/>
      <c r="Z34" s="123"/>
      <c r="AA34" s="96"/>
      <c r="AB34" s="96"/>
      <c r="AC34" s="96"/>
      <c r="AD34" s="96"/>
      <c r="AE34" s="97"/>
      <c r="AF34" s="97"/>
      <c r="AG34" s="97"/>
      <c r="AH34" s="97"/>
      <c r="AI34" s="97"/>
      <c r="AJ34" s="97"/>
      <c r="AK34" s="97"/>
      <c r="AL34" s="97"/>
      <c r="AM34" s="97"/>
      <c r="AN34" s="97"/>
      <c r="AO34" s="97"/>
      <c r="AP34" s="97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  <c r="CY34" s="72"/>
    </row>
    <row r="35" spans="1:103" s="6" customFormat="1" ht="15" thickBot="1" x14ac:dyDescent="0.4">
      <c r="A35" s="76" t="s">
        <v>152</v>
      </c>
      <c r="B35" s="28" t="e">
        <f t="shared" si="0"/>
        <v>#DIV/0!</v>
      </c>
      <c r="C35" s="136"/>
      <c r="D35" s="106"/>
      <c r="E35" s="106"/>
      <c r="F35" s="106"/>
      <c r="G35" s="106"/>
      <c r="H35" s="9">
        <f>SUM(Table723624[[#This Row],[&lt; 2]:[&gt;12]])</f>
        <v>0</v>
      </c>
      <c r="I35" s="29">
        <f>SUM(Table723624[[#This Row],[VP - 1]:[VP - 54]])</f>
        <v>0</v>
      </c>
      <c r="J35" s="87" t="str">
        <f>IFERROR(VLOOKUP(Table723624[[#This Row],[Species]],'VP1'!$C:$I,7,FALSE),"")</f>
        <v/>
      </c>
      <c r="K35" s="87" t="str">
        <f>IFERROR(VLOOKUP(Table723624[[#This Row],[Species]],'VP2'!$C:$I,7,FALSE),"")</f>
        <v/>
      </c>
      <c r="L35" s="87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91"/>
      <c r="Y35" s="91"/>
      <c r="Z35" s="91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  <c r="CY35" s="72"/>
    </row>
    <row r="36" spans="1:103" s="40" customFormat="1" ht="15" thickBot="1" x14ac:dyDescent="0.4">
      <c r="A36" s="73" t="s">
        <v>12</v>
      </c>
      <c r="B36" s="48" t="e">
        <f t="shared" si="0"/>
        <v>#DIV/0!</v>
      </c>
      <c r="C36" s="74"/>
      <c r="D36" s="36"/>
      <c r="E36" s="36"/>
      <c r="F36" s="36"/>
      <c r="G36" s="36"/>
      <c r="H36" s="37">
        <f>SUM(Table723624[[#This Row],[&lt; 2]:[&gt;12]])</f>
        <v>0</v>
      </c>
      <c r="I36" s="38">
        <f>SUM(Table723624[[#This Row],[VP - 1]:[VP - 54]])</f>
        <v>0</v>
      </c>
      <c r="J36" s="74" t="str">
        <f>IFERROR(VLOOKUP(Table723624[[#This Row],[Species]],'VP1'!$C:$I,7,FALSE),"")</f>
        <v/>
      </c>
      <c r="K36" s="74" t="str">
        <f>IFERROR(VLOOKUP(Table723624[[#This Row],[Species]],'VP2'!$C:$I,7,FALSE),"")</f>
        <v/>
      </c>
      <c r="L36" s="74"/>
      <c r="M36" s="74"/>
      <c r="N36" s="74"/>
      <c r="O36" s="74"/>
      <c r="P36" s="88"/>
      <c r="Q36" s="66"/>
      <c r="R36" s="66"/>
      <c r="S36" s="66"/>
      <c r="T36" s="66"/>
      <c r="U36" s="66"/>
      <c r="V36" s="66"/>
      <c r="W36" s="66"/>
      <c r="X36" s="122"/>
      <c r="Y36" s="122"/>
      <c r="Z36" s="122"/>
      <c r="AA36" s="66"/>
      <c r="AB36" s="66"/>
      <c r="AC36" s="66"/>
      <c r="AD36" s="66"/>
      <c r="AE36" s="89"/>
      <c r="AF36" s="89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H36" s="39"/>
      <c r="BI36" s="39"/>
      <c r="BJ36" s="39"/>
      <c r="BK36" s="39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  <c r="CY36" s="72"/>
    </row>
    <row r="37" spans="1:103" s="40" customFormat="1" ht="15" thickBot="1" x14ac:dyDescent="0.4">
      <c r="A37" s="73" t="s">
        <v>124</v>
      </c>
      <c r="B37" s="48" t="e">
        <f t="shared" si="0"/>
        <v>#DIV/0!</v>
      </c>
      <c r="C37" s="74"/>
      <c r="D37" s="36"/>
      <c r="E37" s="36"/>
      <c r="F37" s="36"/>
      <c r="G37" s="36"/>
      <c r="H37" s="37">
        <f>SUM(Table723624[[#This Row],[&lt; 2]:[&gt;12]])</f>
        <v>0</v>
      </c>
      <c r="I37" s="38">
        <f>SUM(Table723624[[#This Row],[VP - 1]:[VP - 54]])</f>
        <v>0</v>
      </c>
      <c r="J37" s="74" t="str">
        <f>IFERROR(VLOOKUP(Table723624[[#This Row],[Species]],'VP1'!$C:$I,7,FALSE),"")</f>
        <v/>
      </c>
      <c r="K37" s="74" t="str">
        <f>IFERROR(VLOOKUP(Table723624[[#This Row],[Species]],'VP2'!$C:$I,7,FALSE),"")</f>
        <v/>
      </c>
      <c r="L37" s="74"/>
      <c r="M37" s="74"/>
      <c r="N37" s="74"/>
      <c r="O37" s="74"/>
      <c r="P37" s="88"/>
      <c r="Q37" s="66"/>
      <c r="R37" s="66"/>
      <c r="S37" s="66"/>
      <c r="T37" s="66"/>
      <c r="U37" s="66"/>
      <c r="V37" s="66"/>
      <c r="W37" s="66"/>
      <c r="X37" s="122"/>
      <c r="Y37" s="122"/>
      <c r="Z37" s="122"/>
      <c r="AA37" s="66"/>
      <c r="AB37" s="66"/>
      <c r="AC37" s="66"/>
      <c r="AD37" s="66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H37" s="39"/>
      <c r="BI37" s="39"/>
      <c r="BJ37" s="39"/>
      <c r="BK37" s="39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  <c r="CY37" s="72"/>
    </row>
    <row r="38" spans="1:103" s="40" customFormat="1" ht="15" thickBot="1" x14ac:dyDescent="0.4">
      <c r="A38" s="130" t="s">
        <v>145</v>
      </c>
      <c r="B38" s="48" t="e">
        <f t="shared" si="0"/>
        <v>#DIV/0!</v>
      </c>
      <c r="C38" s="137"/>
      <c r="D38" s="126"/>
      <c r="E38" s="126"/>
      <c r="F38" s="126"/>
      <c r="G38" s="126"/>
      <c r="H38" s="37">
        <f>SUM(Table723624[[#This Row],[&lt; 2]:[&gt;12]])</f>
        <v>0</v>
      </c>
      <c r="I38" s="138">
        <f>SUM(Table723624[[#This Row],[VP - 1]:[VP - 54]])</f>
        <v>0</v>
      </c>
      <c r="J38" s="127" t="str">
        <f>IFERROR(VLOOKUP(Table723624[[#This Row],[Species]],'VP1'!$C:$I,7,FALSE),"")</f>
        <v/>
      </c>
      <c r="K38" s="127" t="str">
        <f>IFERROR(VLOOKUP(Table723624[[#This Row],[Species]],'VP2'!$C:$I,7,FALSE),"")</f>
        <v/>
      </c>
      <c r="L38" s="127"/>
      <c r="M38" s="127"/>
      <c r="N38" s="127"/>
      <c r="O38" s="127"/>
      <c r="P38" s="128"/>
      <c r="Q38" s="66"/>
      <c r="R38" s="66"/>
      <c r="S38" s="66"/>
      <c r="T38" s="66"/>
      <c r="U38" s="66"/>
      <c r="V38" s="66"/>
      <c r="W38" s="66"/>
      <c r="X38" s="129"/>
      <c r="Y38" s="129"/>
      <c r="Z38" s="129"/>
      <c r="AA38" s="66"/>
      <c r="AB38" s="66"/>
      <c r="AC38" s="66"/>
      <c r="AD38" s="66"/>
      <c r="AE38" s="89"/>
      <c r="AF38" s="89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</row>
    <row r="39" spans="1:103" s="6" customFormat="1" ht="15" thickBot="1" x14ac:dyDescent="0.4">
      <c r="A39" s="73" t="s">
        <v>5</v>
      </c>
      <c r="B39" s="48" t="e">
        <f t="shared" si="0"/>
        <v>#DIV/0!</v>
      </c>
      <c r="C39" s="79"/>
      <c r="D39" s="36"/>
      <c r="E39" s="36"/>
      <c r="F39" s="36"/>
      <c r="G39" s="36"/>
      <c r="H39" s="37">
        <f>SUM(Table723624[[#This Row],[&lt; 2]:[&gt;12]])</f>
        <v>0</v>
      </c>
      <c r="I39" s="38">
        <f>SUM(Table723624[[#This Row],[VP - 1]:[VP - 54]])</f>
        <v>0</v>
      </c>
      <c r="J39" s="74" t="str">
        <f>IFERROR(VLOOKUP(Table723624[[#This Row],[Species]],'VP1'!$C:$I,7,FALSE),"")</f>
        <v/>
      </c>
      <c r="K39" s="74" t="str">
        <f>IFERROR(VLOOKUP(Table723624[[#This Row],[Species]],'VP2'!$C:$I,7,FALSE),"")</f>
        <v/>
      </c>
      <c r="L39" s="74"/>
      <c r="M39" s="74"/>
      <c r="N39" s="74"/>
      <c r="O39" s="74"/>
      <c r="P39" s="88"/>
      <c r="Q39" s="66"/>
      <c r="R39" s="66"/>
      <c r="S39" s="66"/>
      <c r="T39" s="66"/>
      <c r="U39" s="66"/>
      <c r="V39" s="66"/>
      <c r="W39" s="66"/>
      <c r="X39" s="122"/>
      <c r="Y39" s="122"/>
      <c r="Z39" s="122"/>
      <c r="AA39" s="66"/>
      <c r="AB39" s="66"/>
      <c r="AC39" s="66"/>
      <c r="AD39" s="66"/>
      <c r="AE39" s="89"/>
      <c r="AF39" s="89"/>
      <c r="AG39" s="89"/>
      <c r="AH39" s="89"/>
      <c r="AI39" s="89"/>
      <c r="AJ39" s="89"/>
      <c r="AK39" s="89"/>
      <c r="AL39" s="89"/>
      <c r="AM39" s="89"/>
      <c r="AN39" s="89"/>
      <c r="AO39" s="89"/>
      <c r="AP39" s="8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H39" s="39"/>
      <c r="BI39" s="39"/>
      <c r="BJ39" s="39"/>
      <c r="BK39" s="39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</row>
    <row r="40" spans="1:103" s="6" customFormat="1" ht="15" thickBot="1" x14ac:dyDescent="0.4">
      <c r="A40" s="73" t="s">
        <v>151</v>
      </c>
      <c r="B40" s="48" t="e">
        <f t="shared" si="0"/>
        <v>#DIV/0!</v>
      </c>
      <c r="C40" s="79"/>
      <c r="D40" s="36"/>
      <c r="E40" s="36"/>
      <c r="F40" s="36"/>
      <c r="G40" s="36"/>
      <c r="H40" s="37">
        <f>SUM(Table723624[[#This Row],[&lt; 2]:[&gt;12]])</f>
        <v>0</v>
      </c>
      <c r="I40" s="38">
        <f>SUM(Table723624[[#This Row],[VP - 1]:[VP - 54]])</f>
        <v>0</v>
      </c>
      <c r="J40" s="81" t="str">
        <f>IFERROR(VLOOKUP(Table723624[[#This Row],[Species]],'VP1'!$C:$I,7,FALSE),"")</f>
        <v/>
      </c>
      <c r="K40" s="81" t="str">
        <f>IFERROR(VLOOKUP(Table723624[[#This Row],[Species]],'VP2'!$C:$I,7,FALSE),"")</f>
        <v/>
      </c>
      <c r="L40" s="81"/>
      <c r="M40" s="81"/>
      <c r="N40" s="81"/>
      <c r="O40" s="81"/>
      <c r="P40" s="103"/>
      <c r="Q40" s="93"/>
      <c r="R40" s="93"/>
      <c r="S40" s="93"/>
      <c r="T40" s="93"/>
      <c r="U40" s="93"/>
      <c r="V40" s="93"/>
      <c r="W40" s="93"/>
      <c r="X40" s="124"/>
      <c r="Y40" s="124"/>
      <c r="Z40" s="124"/>
      <c r="AA40" s="92"/>
      <c r="AB40" s="92"/>
      <c r="AC40" s="92"/>
      <c r="AD40" s="92"/>
      <c r="AE40" s="94"/>
      <c r="AF40" s="94"/>
      <c r="AG40" s="94"/>
      <c r="AH40" s="94"/>
      <c r="AI40" s="94"/>
      <c r="AJ40" s="94"/>
      <c r="AK40" s="94"/>
      <c r="AL40" s="95"/>
      <c r="AM40" s="95"/>
      <c r="AN40" s="95"/>
      <c r="AO40" s="95"/>
      <c r="AP40" s="95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H40" s="39"/>
      <c r="BI40" s="39"/>
      <c r="BJ40" s="39"/>
      <c r="BK40" s="39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</row>
    <row r="41" spans="1:103" s="6" customFormat="1" ht="15" thickBot="1" x14ac:dyDescent="0.4">
      <c r="A41" s="73" t="s">
        <v>122</v>
      </c>
      <c r="B41" s="48" t="e">
        <f t="shared" si="0"/>
        <v>#DIV/0!</v>
      </c>
      <c r="C41" s="79"/>
      <c r="D41" s="36"/>
      <c r="E41" s="36"/>
      <c r="F41" s="36"/>
      <c r="G41" s="36"/>
      <c r="H41" s="37">
        <f>SUM(Table723624[[#This Row],[&lt; 2]:[&gt;12]])</f>
        <v>0</v>
      </c>
      <c r="I41" s="38">
        <f>SUM(Table723624[[#This Row],[VP - 1]:[VP - 54]])</f>
        <v>0</v>
      </c>
      <c r="J41" s="74" t="str">
        <f>IFERROR(VLOOKUP(Table723624[[#This Row],[Species]],'VP1'!$C:$I,7,FALSE),"")</f>
        <v/>
      </c>
      <c r="K41" s="74" t="str">
        <f>IFERROR(VLOOKUP(Table723624[[#This Row],[Species]],'VP2'!$C:$I,7,FALSE),"")</f>
        <v/>
      </c>
      <c r="L41" s="74"/>
      <c r="M41" s="74"/>
      <c r="N41" s="74"/>
      <c r="O41" s="74"/>
      <c r="P41" s="88"/>
      <c r="Q41" s="66"/>
      <c r="R41" s="66"/>
      <c r="S41" s="66"/>
      <c r="T41" s="66"/>
      <c r="U41" s="66"/>
      <c r="V41" s="66"/>
      <c r="W41" s="66"/>
      <c r="X41" s="122"/>
      <c r="Y41" s="122"/>
      <c r="Z41" s="122"/>
      <c r="AA41" s="66"/>
      <c r="AB41" s="66"/>
      <c r="AC41" s="66"/>
      <c r="AD41" s="66"/>
      <c r="AE41" s="89"/>
      <c r="AF41" s="89"/>
      <c r="AG41" s="89"/>
      <c r="AH41" s="89"/>
      <c r="AI41" s="89"/>
      <c r="AJ41" s="89"/>
      <c r="AK41" s="89"/>
      <c r="AL41" s="89"/>
      <c r="AM41" s="89"/>
      <c r="AN41" s="89"/>
      <c r="AO41" s="89"/>
      <c r="AP41" s="8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H41" s="39"/>
      <c r="BI41" s="39"/>
      <c r="BJ41" s="39"/>
      <c r="BK41" s="39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  <c r="CY41" s="72"/>
    </row>
    <row r="42" spans="1:103" s="6" customFormat="1" ht="15" thickBot="1" x14ac:dyDescent="0.4">
      <c r="A42" s="75" t="s">
        <v>94</v>
      </c>
      <c r="B42" s="48" t="e">
        <f t="shared" si="0"/>
        <v>#DIV/0!</v>
      </c>
      <c r="C42" s="82"/>
      <c r="D42" s="82"/>
      <c r="E42" s="82"/>
      <c r="F42" s="82"/>
      <c r="G42" s="82"/>
      <c r="H42" s="37">
        <f>SUM(Table723624[[#This Row],[&lt; 2]:[&gt;12]])</f>
        <v>0</v>
      </c>
      <c r="I42" s="38">
        <f>SUM(Table723624[[#This Row],[VP - 1]:[VP - 54]])</f>
        <v>0</v>
      </c>
      <c r="J42" s="98" t="str">
        <f>IFERROR(VLOOKUP(Table723624[[#This Row],[Species]],'VP1'!$C:$I,7,FALSE),"")</f>
        <v/>
      </c>
      <c r="K42" s="98" t="str">
        <f>IFERROR(VLOOKUP(Table723624[[#This Row],[Species]],'VP2'!$C:$I,7,FALSE),"")</f>
        <v/>
      </c>
      <c r="L42" s="98"/>
      <c r="M42" s="98"/>
      <c r="N42" s="98"/>
      <c r="O42" s="98"/>
      <c r="P42" s="99"/>
      <c r="Q42" s="100"/>
      <c r="R42" s="100"/>
      <c r="S42" s="100"/>
      <c r="T42" s="100"/>
      <c r="U42" s="100"/>
      <c r="V42" s="100"/>
      <c r="W42" s="100"/>
      <c r="X42" s="125"/>
      <c r="Y42" s="125"/>
      <c r="Z42" s="125"/>
      <c r="AA42" s="100"/>
      <c r="AB42" s="100"/>
      <c r="AC42" s="100"/>
      <c r="AD42" s="100"/>
      <c r="AE42" s="101"/>
      <c r="AF42" s="101"/>
      <c r="AG42" s="101"/>
      <c r="AH42" s="101"/>
      <c r="AI42" s="101"/>
      <c r="AJ42" s="101"/>
      <c r="AK42" s="101"/>
      <c r="AL42" s="101"/>
      <c r="AM42" s="101"/>
      <c r="AN42" s="101"/>
      <c r="AO42" s="101"/>
      <c r="AP42" s="101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H42" s="39"/>
      <c r="BI42" s="39"/>
      <c r="BJ42" s="39"/>
      <c r="BK42" s="39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  <c r="CY42" s="72"/>
    </row>
    <row r="43" spans="1:103" s="6" customFormat="1" ht="15" thickBot="1" x14ac:dyDescent="0.4">
      <c r="A43" s="73" t="s">
        <v>119</v>
      </c>
      <c r="B43" s="48" t="e">
        <f t="shared" si="0"/>
        <v>#DIV/0!</v>
      </c>
      <c r="C43" s="36"/>
      <c r="D43" s="36"/>
      <c r="E43" s="36"/>
      <c r="F43" s="36"/>
      <c r="G43" s="36"/>
      <c r="H43" s="37">
        <f>SUM(Table723624[[#This Row],[&lt; 2]:[&gt;12]])</f>
        <v>0</v>
      </c>
      <c r="I43" s="38">
        <f>SUM(Table723624[[#This Row],[VP - 1]:[VP - 54]])</f>
        <v>0</v>
      </c>
      <c r="J43" s="98" t="str">
        <f>IFERROR(VLOOKUP(Table723624[[#This Row],[Species]],'VP1'!$C:$I,7,FALSE),"")</f>
        <v/>
      </c>
      <c r="K43" s="74" t="str">
        <f>IFERROR(VLOOKUP(Table723624[[#This Row],[Species]],'VP2'!$C:$I,7,FALSE),"")</f>
        <v/>
      </c>
      <c r="L43" s="74"/>
      <c r="M43" s="74"/>
      <c r="N43" s="74"/>
      <c r="O43" s="74"/>
      <c r="P43" s="88"/>
      <c r="Q43" s="66"/>
      <c r="R43" s="66"/>
      <c r="S43" s="66"/>
      <c r="T43" s="66"/>
      <c r="U43" s="66"/>
      <c r="V43" s="66"/>
      <c r="W43" s="66"/>
      <c r="X43" s="122"/>
      <c r="Y43" s="122"/>
      <c r="Z43" s="122"/>
      <c r="AA43" s="66"/>
      <c r="AB43" s="66"/>
      <c r="AC43" s="66"/>
      <c r="AD43" s="66"/>
      <c r="AE43" s="89"/>
      <c r="AF43" s="89"/>
      <c r="AG43" s="89"/>
      <c r="AH43" s="89"/>
      <c r="AI43" s="89"/>
      <c r="AJ43" s="89"/>
      <c r="AK43" s="89"/>
      <c r="AL43" s="89"/>
      <c r="AM43" s="89"/>
      <c r="AN43" s="89"/>
      <c r="AO43" s="89"/>
      <c r="AP43" s="8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H43" s="39"/>
      <c r="BI43" s="39"/>
      <c r="BJ43" s="39"/>
      <c r="BK43" s="39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  <c r="CY43" s="72"/>
    </row>
    <row r="44" spans="1:103" s="6" customFormat="1" ht="15" thickBot="1" x14ac:dyDescent="0.4">
      <c r="A44" s="76" t="s">
        <v>118</v>
      </c>
      <c r="B44" s="28" t="e">
        <f t="shared" si="0"/>
        <v>#DIV/0!</v>
      </c>
      <c r="C44" s="84"/>
      <c r="D44" s="50"/>
      <c r="E44" s="50"/>
      <c r="F44" s="50"/>
      <c r="G44" s="50"/>
      <c r="H44" s="112">
        <f>SUM(Table723624[[#This Row],[&lt; 2]:[&gt;12]])</f>
        <v>0</v>
      </c>
      <c r="I44" s="29">
        <f>SUM(Table723624[[#This Row],[VP - 1]:[VP - 54]])</f>
        <v>0</v>
      </c>
      <c r="J44" s="61" t="str">
        <f>IFERROR(VLOOKUP(Table723624[[#This Row],[Species]],'VP1'!$C:$I,7,FALSE),"")</f>
        <v/>
      </c>
      <c r="K44" s="61" t="str">
        <f>IFERROR(VLOOKUP(Table723624[[#This Row],[Species]],'VP2'!$C:$I,7,FALSE),"")</f>
        <v/>
      </c>
      <c r="L44" s="61"/>
      <c r="M44" s="61"/>
      <c r="N44" s="61"/>
      <c r="O44" s="61"/>
      <c r="P44" s="86"/>
      <c r="Q44" s="90"/>
      <c r="R44" s="90"/>
      <c r="S44" s="90"/>
      <c r="T44" s="90"/>
      <c r="U44" s="62"/>
      <c r="V44" s="90"/>
      <c r="W44" s="90"/>
      <c r="X44" s="121"/>
      <c r="Y44" s="121"/>
      <c r="Z44" s="121"/>
      <c r="AA44" s="90"/>
      <c r="AB44" s="90"/>
      <c r="AC44" s="90"/>
      <c r="AD44" s="90"/>
      <c r="AE44" s="91"/>
      <c r="AF44" s="91"/>
      <c r="AG44" s="91"/>
      <c r="AH44" s="91"/>
      <c r="AI44" s="91"/>
      <c r="AJ44" s="91"/>
      <c r="AK44" s="91"/>
      <c r="AL44" s="91"/>
      <c r="AM44" s="91"/>
      <c r="AN44" s="91"/>
      <c r="AO44" s="91"/>
      <c r="AP44" s="91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</row>
    <row r="45" spans="1:103" s="6" customFormat="1" ht="15" thickBot="1" x14ac:dyDescent="0.4">
      <c r="A45" s="73" t="s">
        <v>95</v>
      </c>
      <c r="B45" s="48" t="e">
        <f t="shared" si="0"/>
        <v>#DIV/0!</v>
      </c>
      <c r="C45" s="134"/>
      <c r="D45" s="36"/>
      <c r="E45" s="36"/>
      <c r="F45" s="36"/>
      <c r="G45" s="36"/>
      <c r="H45" s="46">
        <f>SUM(Table723624[[#This Row],[&lt; 2]:[&gt;12]])</f>
        <v>0</v>
      </c>
      <c r="I45" s="38">
        <f>SUM(Table723624[[#This Row],[VP - 1]:[VP - 54]])</f>
        <v>0</v>
      </c>
      <c r="J45" s="81" t="str">
        <f>IFERROR(VLOOKUP(Table723624[[#This Row],[Species]],'VP1'!$C:$I,7,FALSE),"")</f>
        <v/>
      </c>
      <c r="K45" s="74" t="str">
        <f>IFERROR(VLOOKUP(Table723624[[#This Row],[Species]],'VP2'!$C:$I,7,FALSE),"")</f>
        <v/>
      </c>
      <c r="L45" s="81"/>
      <c r="M45" s="74"/>
      <c r="N45" s="74"/>
      <c r="O45" s="74"/>
      <c r="P45" s="88"/>
      <c r="Q45" s="92"/>
      <c r="R45" s="92"/>
      <c r="S45" s="92"/>
      <c r="T45" s="92"/>
      <c r="U45" s="92"/>
      <c r="V45" s="92"/>
      <c r="W45" s="92"/>
      <c r="X45" s="122"/>
      <c r="Y45" s="124"/>
      <c r="Z45" s="122"/>
      <c r="AA45" s="93"/>
      <c r="AB45" s="93"/>
      <c r="AC45" s="92"/>
      <c r="AD45" s="92"/>
      <c r="AE45" s="94"/>
      <c r="AF45" s="94"/>
      <c r="AG45" s="94"/>
      <c r="AH45" s="94"/>
      <c r="AI45" s="94"/>
      <c r="AJ45" s="94"/>
      <c r="AK45" s="94"/>
      <c r="AL45" s="95"/>
      <c r="AM45" s="95"/>
      <c r="AN45" s="95"/>
      <c r="AO45" s="95"/>
      <c r="AP45" s="95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H45" s="39"/>
      <c r="BI45" s="39"/>
      <c r="BJ45" s="39"/>
      <c r="BK45" s="39"/>
    </row>
    <row r="46" spans="1:103" s="31" customFormat="1" ht="15" thickBot="1" x14ac:dyDescent="0.4">
      <c r="A46" s="73" t="s">
        <v>120</v>
      </c>
      <c r="B46" s="48" t="e">
        <f t="shared" si="0"/>
        <v>#DIV/0!</v>
      </c>
      <c r="C46" s="36"/>
      <c r="D46" s="36"/>
      <c r="E46" s="36"/>
      <c r="F46" s="36"/>
      <c r="G46" s="36"/>
      <c r="H46" s="46">
        <f>SUM(Table723624[[#This Row],[&lt; 2]:[&gt;12]])</f>
        <v>0</v>
      </c>
      <c r="I46" s="38">
        <f>SUM(Table723624[[#This Row],[VP - 1]:[VP - 54]])</f>
        <v>0</v>
      </c>
      <c r="J46" s="74" t="str">
        <f>IFERROR(VLOOKUP(Table723624[[#This Row],[Species]],'VP1'!$C:$I,7,FALSE),"")</f>
        <v/>
      </c>
      <c r="K46" s="74" t="str">
        <f>IFERROR(VLOOKUP(Table723624[[#This Row],[Species]],'VP2'!$C:$I,7,FALSE),"")</f>
        <v/>
      </c>
      <c r="L46" s="74"/>
      <c r="M46" s="74"/>
      <c r="N46" s="74"/>
      <c r="O46" s="74"/>
      <c r="P46" s="88"/>
      <c r="Q46" s="66"/>
      <c r="R46" s="66"/>
      <c r="S46" s="66"/>
      <c r="T46" s="66"/>
      <c r="U46" s="66"/>
      <c r="V46" s="66"/>
      <c r="W46" s="66"/>
      <c r="X46" s="122"/>
      <c r="Y46" s="122"/>
      <c r="Z46" s="122"/>
      <c r="AA46" s="66"/>
      <c r="AB46" s="66"/>
      <c r="AC46" s="66"/>
      <c r="AD46" s="66"/>
      <c r="AE46" s="89"/>
      <c r="AF46" s="89"/>
      <c r="AG46" s="89"/>
      <c r="AH46" s="89"/>
      <c r="AI46" s="89"/>
      <c r="AJ46" s="89"/>
      <c r="AK46" s="89"/>
      <c r="AL46" s="89"/>
      <c r="AM46" s="89"/>
      <c r="AN46" s="89"/>
      <c r="AO46" s="89"/>
      <c r="AP46" s="8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H46" s="39"/>
      <c r="BI46" s="39"/>
      <c r="BJ46" s="39"/>
      <c r="BK46" s="39"/>
    </row>
    <row r="47" spans="1:103" s="33" customFormat="1" ht="15" thickBot="1" x14ac:dyDescent="0.4">
      <c r="A47" s="76" t="s">
        <v>84</v>
      </c>
      <c r="B47" s="28" t="e">
        <f t="shared" si="0"/>
        <v>#DIV/0!</v>
      </c>
      <c r="C47" s="50"/>
      <c r="D47" s="50"/>
      <c r="E47" s="50"/>
      <c r="F47" s="50"/>
      <c r="G47" s="50"/>
      <c r="H47" s="114">
        <f>SUM(Table723624[[#This Row],[&lt; 2]:[&gt;12]])</f>
        <v>0</v>
      </c>
      <c r="I47" s="29">
        <f>SUM(Table723624[[#This Row],[VP - 1]:[VP - 54]])</f>
        <v>0</v>
      </c>
      <c r="J47" s="61" t="str">
        <f>IFERROR(VLOOKUP(Table723624[[#This Row],[Species]],'VP1'!$C:$I,7,FALSE),"")</f>
        <v/>
      </c>
      <c r="K47" s="61" t="str">
        <f>IFERROR(VLOOKUP(Table723624[[#This Row],[Species]],'VP2'!$C:$I,7,FALSE),"")</f>
        <v/>
      </c>
      <c r="L47" s="61"/>
      <c r="M47" s="61"/>
      <c r="N47" s="61"/>
      <c r="O47" s="61"/>
      <c r="P47" s="86"/>
      <c r="Q47" s="87"/>
      <c r="R47" s="87"/>
      <c r="S47" s="87"/>
      <c r="T47" s="87"/>
      <c r="U47" s="87"/>
      <c r="V47" s="87"/>
      <c r="W47" s="87"/>
      <c r="X47" s="121"/>
      <c r="Y47" s="121"/>
      <c r="Z47" s="121"/>
      <c r="AA47" s="87"/>
      <c r="AB47" s="87"/>
      <c r="AC47" s="87"/>
      <c r="AD47" s="87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</row>
    <row r="48" spans="1:103" ht="15" thickBot="1" x14ac:dyDescent="0.4">
      <c r="A48" s="76" t="s">
        <v>90</v>
      </c>
      <c r="B48" s="28" t="e">
        <f t="shared" si="0"/>
        <v>#DIV/0!</v>
      </c>
      <c r="C48" s="83"/>
      <c r="D48" s="50"/>
      <c r="E48" s="50"/>
      <c r="F48" s="50"/>
      <c r="G48" s="50"/>
      <c r="H48" s="114">
        <f>SUM(Table723624[[#This Row],[&lt; 2]:[&gt;12]])</f>
        <v>0</v>
      </c>
      <c r="I48" s="29">
        <f>SUM(Table723624[[#This Row],[VP - 1]:[VP - 54]])</f>
        <v>0</v>
      </c>
      <c r="J48" s="61" t="str">
        <f>IFERROR(VLOOKUP(Table723624[[#This Row],[Species]],'VP1'!$C:$I,7,FALSE),"")</f>
        <v/>
      </c>
      <c r="K48" s="61" t="str">
        <f>IFERROR(VLOOKUP(Table723624[[#This Row],[Species]],'VP2'!$C:$I,7,FALSE),"")</f>
        <v/>
      </c>
      <c r="L48" s="61"/>
      <c r="M48" s="61"/>
      <c r="N48" s="61"/>
      <c r="O48" s="61"/>
      <c r="P48" s="86"/>
      <c r="Q48" s="87"/>
      <c r="R48" s="87"/>
      <c r="S48" s="87"/>
      <c r="T48" s="87"/>
      <c r="U48" s="87"/>
      <c r="V48" s="87"/>
      <c r="W48" s="87"/>
      <c r="X48" s="121"/>
      <c r="Y48" s="121"/>
      <c r="Z48" s="121"/>
      <c r="AA48" s="87"/>
      <c r="AB48" s="87"/>
      <c r="AC48" s="87"/>
      <c r="AD48" s="87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</row>
    <row r="49" spans="1:63" s="6" customFormat="1" ht="15" thickBot="1" x14ac:dyDescent="0.4">
      <c r="A49" s="76" t="s">
        <v>125</v>
      </c>
      <c r="B49" s="28" t="e">
        <f t="shared" si="0"/>
        <v>#DIV/0!</v>
      </c>
      <c r="C49" s="83"/>
      <c r="D49" s="50"/>
      <c r="E49" s="50"/>
      <c r="F49" s="50"/>
      <c r="G49" s="50"/>
      <c r="H49" s="114">
        <f>SUM(Table723624[[#This Row],[&lt; 2]:[&gt;12]])</f>
        <v>0</v>
      </c>
      <c r="I49" s="29">
        <f>SUM(Table723624[[#This Row],[VP - 1]:[VP - 54]])</f>
        <v>0</v>
      </c>
      <c r="J49" s="61" t="str">
        <f>IFERROR(VLOOKUP(Table723624[[#This Row],[Species]],'VP1'!$C:$I,7,FALSE),"")</f>
        <v/>
      </c>
      <c r="K49" s="61" t="str">
        <f>IFERROR(VLOOKUP(Table723624[[#This Row],[Species]],'VP2'!$C:$I,7,FALSE),"")</f>
        <v/>
      </c>
      <c r="L49" s="61"/>
      <c r="M49" s="61"/>
      <c r="N49" s="61"/>
      <c r="O49" s="61"/>
      <c r="P49" s="86"/>
      <c r="Q49" s="87"/>
      <c r="R49" s="87"/>
      <c r="S49" s="87"/>
      <c r="T49" s="87"/>
      <c r="U49" s="87"/>
      <c r="V49" s="87"/>
      <c r="W49" s="87"/>
      <c r="X49" s="121"/>
      <c r="Y49" s="121"/>
      <c r="Z49" s="121"/>
      <c r="AA49" s="87"/>
      <c r="AB49" s="87"/>
      <c r="AC49" s="87"/>
      <c r="AD49" s="87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</row>
    <row r="50" spans="1:63" ht="15" thickBot="1" x14ac:dyDescent="0.4">
      <c r="A50" s="76" t="s">
        <v>98</v>
      </c>
      <c r="B50" s="28" t="e">
        <f t="shared" si="0"/>
        <v>#DIV/0!</v>
      </c>
      <c r="C50" s="50"/>
      <c r="D50" s="50"/>
      <c r="E50" s="50"/>
      <c r="F50" s="50"/>
      <c r="G50" s="50"/>
      <c r="H50" s="114">
        <f>SUM(Table723624[[#This Row],[&lt; 2]:[&gt;12]])</f>
        <v>0</v>
      </c>
      <c r="I50" s="29">
        <f>SUM(Table723624[[#This Row],[VP - 1]:[VP - 54]])</f>
        <v>0</v>
      </c>
      <c r="J50" s="61" t="str">
        <f>IFERROR(VLOOKUP(Table723624[[#This Row],[Species]],'VP1'!$C:$I,7,FALSE),"")</f>
        <v/>
      </c>
      <c r="K50" s="61" t="str">
        <f>IFERROR(VLOOKUP(Table723624[[#This Row],[Species]],'VP2'!$C:$I,7,FALSE),"")</f>
        <v/>
      </c>
      <c r="L50" s="61"/>
      <c r="M50" s="61"/>
      <c r="N50" s="61"/>
      <c r="O50" s="61"/>
      <c r="P50" s="86"/>
      <c r="Q50" s="87"/>
      <c r="R50" s="87"/>
      <c r="S50" s="87"/>
      <c r="T50" s="87"/>
      <c r="U50" s="87"/>
      <c r="V50" s="87"/>
      <c r="W50" s="87"/>
      <c r="X50" s="121"/>
      <c r="Y50" s="121"/>
      <c r="Z50" s="121"/>
      <c r="AA50" s="87"/>
      <c r="AB50" s="87"/>
      <c r="AC50" s="87"/>
      <c r="AD50" s="87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</row>
    <row r="51" spans="1:63" s="6" customFormat="1" ht="15" thickBot="1" x14ac:dyDescent="0.4">
      <c r="A51" s="73" t="s">
        <v>127</v>
      </c>
      <c r="B51" s="48" t="e">
        <f t="shared" si="0"/>
        <v>#DIV/0!</v>
      </c>
      <c r="C51" s="79"/>
      <c r="D51" s="36"/>
      <c r="E51" s="36"/>
      <c r="F51" s="36"/>
      <c r="G51" s="36"/>
      <c r="H51" s="46">
        <f>SUM(Table723624[[#This Row],[&lt; 2]:[&gt;12]])</f>
        <v>0</v>
      </c>
      <c r="I51" s="38">
        <f>SUM(Table723624[[#This Row],[VP - 1]:[VP - 54]])</f>
        <v>0</v>
      </c>
      <c r="J51" s="74" t="str">
        <f>IFERROR(VLOOKUP(Table723624[[#This Row],[Species]],'VP1'!$C:$I,7,FALSE),"")</f>
        <v/>
      </c>
      <c r="K51" s="74" t="str">
        <f>IFERROR(VLOOKUP(Table723624[[#This Row],[Species]],'VP2'!$C:$I,7,FALSE),"")</f>
        <v/>
      </c>
      <c r="L51" s="74"/>
      <c r="M51" s="74"/>
      <c r="N51" s="74"/>
      <c r="O51" s="74"/>
      <c r="P51" s="88"/>
      <c r="Q51" s="66"/>
      <c r="R51" s="66"/>
      <c r="S51" s="66"/>
      <c r="T51" s="66"/>
      <c r="U51" s="66"/>
      <c r="V51" s="66"/>
      <c r="W51" s="66"/>
      <c r="X51" s="122"/>
      <c r="Y51" s="122"/>
      <c r="Z51" s="122"/>
      <c r="AA51" s="66"/>
      <c r="AB51" s="66"/>
      <c r="AC51" s="66"/>
      <c r="AD51" s="66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</row>
    <row r="52" spans="1:63" s="6" customFormat="1" ht="15" thickBot="1" x14ac:dyDescent="0.4">
      <c r="A52" s="76" t="s">
        <v>75</v>
      </c>
      <c r="B52" s="28" t="e">
        <f t="shared" si="0"/>
        <v>#DIV/0!</v>
      </c>
      <c r="C52" s="50"/>
      <c r="D52" s="50"/>
      <c r="E52" s="50"/>
      <c r="F52" s="50"/>
      <c r="G52" s="50"/>
      <c r="H52" s="114">
        <f>SUM(Table723624[[#This Row],[&lt; 2]:[&gt;12]])</f>
        <v>0</v>
      </c>
      <c r="I52" s="29">
        <f>SUM(Table723624[[#This Row],[VP - 1]:[VP - 54]])</f>
        <v>0</v>
      </c>
      <c r="J52" s="61" t="str">
        <f>IFERROR(VLOOKUP(Table723624[[#This Row],[Species]],'VP1'!$C:$I,7,FALSE),"")</f>
        <v/>
      </c>
      <c r="K52" s="61" t="str">
        <f>IFERROR(VLOOKUP(Table723624[[#This Row],[Species]],'VP2'!$C:$I,7,FALSE),"")</f>
        <v/>
      </c>
      <c r="L52" s="61"/>
      <c r="M52" s="61"/>
      <c r="N52" s="61"/>
      <c r="O52" s="61"/>
      <c r="P52" s="86"/>
      <c r="Q52" s="87"/>
      <c r="R52" s="87"/>
      <c r="S52" s="87"/>
      <c r="T52" s="87"/>
      <c r="U52" s="87"/>
      <c r="V52" s="87"/>
      <c r="W52" s="87"/>
      <c r="X52" s="90"/>
      <c r="Y52" s="90"/>
      <c r="Z52" s="90"/>
      <c r="AA52" s="87"/>
      <c r="AB52" s="87"/>
      <c r="AC52" s="87"/>
      <c r="AD52" s="87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</row>
    <row r="53" spans="1:63" s="6" customFormat="1" ht="15" thickBot="1" x14ac:dyDescent="0.4">
      <c r="A53" s="73" t="s">
        <v>82</v>
      </c>
      <c r="B53" s="48" t="e">
        <f t="shared" si="0"/>
        <v>#DIV/0!</v>
      </c>
      <c r="C53" s="36"/>
      <c r="D53" s="36"/>
      <c r="E53" s="36"/>
      <c r="F53" s="36"/>
      <c r="G53" s="36"/>
      <c r="H53" s="46">
        <f>SUM(Table723624[[#This Row],[&lt; 2]:[&gt;12]])</f>
        <v>0</v>
      </c>
      <c r="I53" s="38">
        <f>SUM(Table723624[[#This Row],[VP - 1]:[VP - 54]])</f>
        <v>0</v>
      </c>
      <c r="J53" s="74" t="str">
        <f>IFERROR(VLOOKUP(Table723624[[#This Row],[Species]],'VP1'!$C:$I,7,FALSE),"")</f>
        <v/>
      </c>
      <c r="K53" s="74" t="str">
        <f>IFERROR(VLOOKUP(Table723624[[#This Row],[Species]],'VP2'!$C:$I,7,FALSE),"")</f>
        <v/>
      </c>
      <c r="L53" s="74"/>
      <c r="M53" s="74"/>
      <c r="N53" s="74"/>
      <c r="O53" s="74"/>
      <c r="P53" s="88"/>
      <c r="Q53" s="66"/>
      <c r="R53" s="66"/>
      <c r="S53" s="66"/>
      <c r="T53" s="66"/>
      <c r="U53" s="66"/>
      <c r="V53" s="66"/>
      <c r="W53" s="66"/>
      <c r="X53" s="122"/>
      <c r="Y53" s="122"/>
      <c r="Z53" s="122"/>
      <c r="AA53" s="66"/>
      <c r="AB53" s="66"/>
      <c r="AC53" s="66"/>
      <c r="AD53" s="66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39"/>
      <c r="AR53" s="39"/>
      <c r="AS53" s="39"/>
      <c r="AT53" s="39"/>
      <c r="AU53" s="39"/>
      <c r="AV53" s="39"/>
      <c r="AW53" s="39"/>
      <c r="AX53" s="39"/>
      <c r="AY53" s="39"/>
      <c r="AZ53" s="39"/>
      <c r="BA53" s="39"/>
      <c r="BB53" s="39"/>
      <c r="BC53" s="39"/>
      <c r="BD53" s="39"/>
      <c r="BE53" s="39"/>
      <c r="BF53" s="39"/>
      <c r="BG53" s="39"/>
      <c r="BH53" s="39"/>
      <c r="BI53" s="39"/>
      <c r="BJ53" s="39"/>
      <c r="BK53" s="39"/>
    </row>
    <row r="54" spans="1:63" s="72" customFormat="1" ht="15" thickBot="1" x14ac:dyDescent="0.4">
      <c r="A54" s="76" t="s">
        <v>129</v>
      </c>
      <c r="B54" s="28" t="e">
        <f t="shared" si="0"/>
        <v>#DIV/0!</v>
      </c>
      <c r="C54" s="85"/>
      <c r="D54" s="50"/>
      <c r="E54" s="50"/>
      <c r="F54" s="50"/>
      <c r="G54" s="50"/>
      <c r="H54" s="114">
        <f>SUM(Table723624[[#This Row],[&lt; 2]:[&gt;12]])</f>
        <v>0</v>
      </c>
      <c r="I54" s="29">
        <f>SUM(Table723624[[#This Row],[VP - 1]:[VP - 54]])</f>
        <v>0</v>
      </c>
      <c r="J54" s="80" t="str">
        <f>IFERROR(VLOOKUP(Table723624[[#This Row],[Species]],'VP1'!$C:$I,7,FALSE),"")</f>
        <v/>
      </c>
      <c r="K54" s="80" t="str">
        <f>IFERROR(VLOOKUP(Table723624[[#This Row],[Species]],'VP2'!$C:$I,7,FALSE),"")</f>
        <v/>
      </c>
      <c r="L54" s="80"/>
      <c r="M54" s="80"/>
      <c r="N54" s="80"/>
      <c r="O54" s="80"/>
      <c r="P54" s="102"/>
      <c r="Q54" s="96"/>
      <c r="R54" s="96"/>
      <c r="S54" s="96"/>
      <c r="T54" s="96"/>
      <c r="U54" s="96"/>
      <c r="V54" s="96"/>
      <c r="W54" s="96"/>
      <c r="X54" s="123"/>
      <c r="Y54" s="123"/>
      <c r="Z54" s="123"/>
      <c r="AA54" s="96"/>
      <c r="AB54" s="96"/>
      <c r="AC54" s="96"/>
      <c r="AD54" s="96"/>
      <c r="AE54" s="97"/>
      <c r="AF54" s="97"/>
      <c r="AG54" s="97"/>
      <c r="AH54" s="97"/>
      <c r="AI54" s="97"/>
      <c r="AJ54" s="97"/>
      <c r="AK54" s="97"/>
      <c r="AL54" s="97"/>
      <c r="AM54" s="97"/>
      <c r="AN54" s="97"/>
      <c r="AO54" s="97"/>
      <c r="AP54" s="97"/>
      <c r="AQ54" s="61"/>
      <c r="AR54" s="61"/>
      <c r="AS54" s="61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</row>
    <row r="55" spans="1:63" ht="15" thickBot="1" x14ac:dyDescent="0.4">
      <c r="A55" s="73" t="s">
        <v>130</v>
      </c>
      <c r="B55" s="48" t="e">
        <f t="shared" si="0"/>
        <v>#DIV/0!</v>
      </c>
      <c r="C55" s="36"/>
      <c r="D55" s="36"/>
      <c r="E55" s="36"/>
      <c r="F55" s="36"/>
      <c r="G55" s="36"/>
      <c r="H55" s="46">
        <f>SUM(Table723624[[#This Row],[&lt; 2]:[&gt;12]])</f>
        <v>0</v>
      </c>
      <c r="I55" s="38">
        <f>SUM(Table723624[[#This Row],[VP - 1]:[VP - 54]])</f>
        <v>0</v>
      </c>
      <c r="J55" s="74" t="str">
        <f>IFERROR(VLOOKUP(Table723624[[#This Row],[Species]],'VP1'!$C:$I,7,FALSE),"")</f>
        <v/>
      </c>
      <c r="K55" s="74" t="str">
        <f>IFERROR(VLOOKUP(Table723624[[#This Row],[Species]],'VP2'!$C:$I,7,FALSE),"")</f>
        <v/>
      </c>
      <c r="L55" s="74"/>
      <c r="M55" s="74"/>
      <c r="N55" s="74"/>
      <c r="O55" s="74"/>
      <c r="P55" s="88"/>
      <c r="Q55" s="66"/>
      <c r="R55" s="66"/>
      <c r="S55" s="66"/>
      <c r="T55" s="66"/>
      <c r="U55" s="66"/>
      <c r="V55" s="66"/>
      <c r="W55" s="66"/>
      <c r="X55" s="122"/>
      <c r="Y55" s="122"/>
      <c r="Z55" s="122"/>
      <c r="AA55" s="66"/>
      <c r="AB55" s="66"/>
      <c r="AC55" s="66"/>
      <c r="AD55" s="66"/>
      <c r="AE55" s="89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39"/>
      <c r="AR55" s="39"/>
      <c r="AS55" s="39"/>
      <c r="AT55" s="39"/>
      <c r="AU55" s="39"/>
      <c r="AV55" s="39"/>
      <c r="AW55" s="39"/>
      <c r="AX55" s="39"/>
      <c r="AY55" s="39"/>
      <c r="AZ55" s="39"/>
      <c r="BA55" s="39"/>
      <c r="BB55" s="39"/>
      <c r="BC55" s="39"/>
      <c r="BD55" s="39"/>
      <c r="BE55" s="39"/>
      <c r="BF55" s="39"/>
      <c r="BG55" s="39"/>
      <c r="BH55" s="39"/>
      <c r="BI55" s="39"/>
      <c r="BJ55" s="39"/>
      <c r="BK55" s="39"/>
    </row>
    <row r="56" spans="1:63" ht="15" thickBot="1" x14ac:dyDescent="0.4">
      <c r="A56" s="73" t="s">
        <v>78</v>
      </c>
      <c r="B56" s="48" t="e">
        <f t="shared" si="0"/>
        <v>#DIV/0!</v>
      </c>
      <c r="C56" s="36"/>
      <c r="D56" s="36"/>
      <c r="E56" s="36"/>
      <c r="F56" s="36"/>
      <c r="G56" s="36"/>
      <c r="H56" s="46">
        <f>SUM(Table723624[[#This Row],[&lt; 2]:[&gt;12]])</f>
        <v>0</v>
      </c>
      <c r="I56" s="38">
        <f>SUM(Table723624[[#This Row],[VP - 1]:[VP - 54]])</f>
        <v>0</v>
      </c>
      <c r="J56" s="74" t="str">
        <f>IFERROR(VLOOKUP(Table723624[[#This Row],[Species]],'VP1'!$C:$I,7,FALSE),"")</f>
        <v/>
      </c>
      <c r="K56" s="74" t="str">
        <f>IFERROR(VLOOKUP(Table723624[[#This Row],[Species]],'VP2'!$C:$I,7,FALSE),"")</f>
        <v/>
      </c>
      <c r="L56" s="74"/>
      <c r="M56" s="74"/>
      <c r="N56" s="74"/>
      <c r="O56" s="74"/>
      <c r="P56" s="88"/>
      <c r="Q56" s="66"/>
      <c r="R56" s="66"/>
      <c r="S56" s="66"/>
      <c r="T56" s="66"/>
      <c r="U56" s="66"/>
      <c r="V56" s="66"/>
      <c r="W56" s="66"/>
      <c r="X56" s="122"/>
      <c r="Y56" s="122"/>
      <c r="Z56" s="122"/>
      <c r="AA56" s="66"/>
      <c r="AB56" s="66"/>
      <c r="AC56" s="66"/>
      <c r="AD56" s="66"/>
      <c r="AE56" s="89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116"/>
      <c r="BD56" s="74"/>
      <c r="BE56" s="74"/>
      <c r="BF56" s="74"/>
      <c r="BG56" s="74"/>
      <c r="BH56" s="74"/>
      <c r="BI56" s="74"/>
      <c r="BJ56" s="74"/>
      <c r="BK56" s="74"/>
    </row>
    <row r="57" spans="1:63" ht="15" thickBot="1" x14ac:dyDescent="0.4">
      <c r="A57" s="73" t="s">
        <v>83</v>
      </c>
      <c r="B57" s="48" t="e">
        <f t="shared" si="0"/>
        <v>#DIV/0!</v>
      </c>
      <c r="C57" s="36"/>
      <c r="D57" s="36"/>
      <c r="E57" s="36"/>
      <c r="F57" s="36"/>
      <c r="G57" s="36"/>
      <c r="H57" s="46">
        <f>SUM(Table723624[[#This Row],[&lt; 2]:[&gt;12]])</f>
        <v>0</v>
      </c>
      <c r="I57" s="38">
        <f>SUM(Table723624[[#This Row],[VP - 1]:[VP - 54]])</f>
        <v>0</v>
      </c>
      <c r="J57" s="74" t="str">
        <f>IFERROR(VLOOKUP(Table723624[[#This Row],[Species]],'VP1'!$C:$I,7,FALSE),"")</f>
        <v/>
      </c>
      <c r="K57" s="74" t="str">
        <f>IFERROR(VLOOKUP(Table723624[[#This Row],[Species]],'VP2'!$C:$I,7,FALSE),"")</f>
        <v/>
      </c>
      <c r="L57" s="74"/>
      <c r="M57" s="74"/>
      <c r="N57" s="74"/>
      <c r="O57" s="74"/>
      <c r="P57" s="88"/>
      <c r="Q57" s="66"/>
      <c r="R57" s="66"/>
      <c r="S57" s="66"/>
      <c r="T57" s="66"/>
      <c r="U57" s="66"/>
      <c r="V57" s="66"/>
      <c r="W57" s="66"/>
      <c r="X57" s="122"/>
      <c r="Y57" s="122"/>
      <c r="Z57" s="122"/>
      <c r="AA57" s="66"/>
      <c r="AB57" s="66"/>
      <c r="AC57" s="66"/>
      <c r="AD57" s="66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116"/>
      <c r="BD57" s="74"/>
      <c r="BE57" s="74"/>
      <c r="BF57" s="74"/>
      <c r="BG57" s="74"/>
      <c r="BH57" s="74"/>
      <c r="BI57" s="74"/>
      <c r="BJ57" s="74"/>
      <c r="BK57" s="74"/>
    </row>
    <row r="58" spans="1:63" ht="15" thickBot="1" x14ac:dyDescent="0.4">
      <c r="A58" s="76" t="s">
        <v>121</v>
      </c>
      <c r="B58" s="28" t="e">
        <f t="shared" si="0"/>
        <v>#DIV/0!</v>
      </c>
      <c r="C58" s="84"/>
      <c r="D58" s="50"/>
      <c r="E58" s="50"/>
      <c r="F58" s="50"/>
      <c r="G58" s="50"/>
      <c r="H58" s="114">
        <f>SUM(Table723624[[#This Row],[&lt; 2]:[&gt;12]])</f>
        <v>0</v>
      </c>
      <c r="I58" s="29">
        <f>SUM(Table723624[[#This Row],[VP - 1]:[VP - 54]])</f>
        <v>0</v>
      </c>
      <c r="J58" s="80" t="str">
        <f>IFERROR(VLOOKUP(Table723624[[#This Row],[Species]],'VP1'!$C:$I,7,FALSE),"")</f>
        <v/>
      </c>
      <c r="K58" s="61" t="str">
        <f>IFERROR(VLOOKUP(Table723624[[#This Row],[Species]],'VP2'!$C:$I,7,FALSE),"")</f>
        <v/>
      </c>
      <c r="L58" s="61"/>
      <c r="M58" s="61"/>
      <c r="N58" s="61"/>
      <c r="O58" s="61"/>
      <c r="P58" s="86"/>
      <c r="Q58" s="90"/>
      <c r="R58" s="90"/>
      <c r="S58" s="90"/>
      <c r="T58" s="90"/>
      <c r="U58" s="96"/>
      <c r="V58" s="96"/>
      <c r="W58" s="96"/>
      <c r="X58" s="121"/>
      <c r="Y58" s="121"/>
      <c r="Z58" s="121"/>
      <c r="AA58" s="96"/>
      <c r="AB58" s="96"/>
      <c r="AC58" s="96"/>
      <c r="AD58" s="96"/>
      <c r="AE58" s="97"/>
      <c r="AF58" s="97"/>
      <c r="AG58" s="97"/>
      <c r="AH58" s="97"/>
      <c r="AI58" s="97"/>
      <c r="AJ58" s="97"/>
      <c r="AK58" s="97"/>
      <c r="AL58" s="97"/>
      <c r="AM58" s="97"/>
      <c r="AN58" s="97"/>
      <c r="AO58" s="97"/>
      <c r="AP58" s="97"/>
      <c r="AQ58" s="61"/>
      <c r="AR58" s="61"/>
      <c r="AS58" s="61"/>
      <c r="AT58" s="61"/>
      <c r="AU58" s="61"/>
      <c r="AV58" s="61"/>
      <c r="AW58" s="61"/>
      <c r="AX58" s="61"/>
      <c r="AY58" s="61"/>
      <c r="AZ58" s="61"/>
      <c r="BA58" s="61"/>
      <c r="BB58" s="61"/>
      <c r="BC58" s="107"/>
      <c r="BD58" s="61"/>
      <c r="BE58" s="61"/>
      <c r="BF58" s="61"/>
      <c r="BG58" s="61"/>
      <c r="BH58" s="61"/>
      <c r="BI58" s="61"/>
      <c r="BJ58" s="61"/>
      <c r="BK58" s="61"/>
    </row>
    <row r="59" spans="1:63" ht="15" thickBot="1" x14ac:dyDescent="0.4">
      <c r="A59" s="73" t="s">
        <v>136</v>
      </c>
      <c r="B59" s="48" t="e">
        <f t="shared" si="0"/>
        <v>#DIV/0!</v>
      </c>
      <c r="C59" s="79"/>
      <c r="D59" s="36"/>
      <c r="E59" s="36"/>
      <c r="F59" s="36"/>
      <c r="G59" s="36"/>
      <c r="H59" s="46">
        <f>SUM(Table723624[[#This Row],[&lt; 2]:[&gt;12]])</f>
        <v>0</v>
      </c>
      <c r="I59" s="38">
        <f>SUM(Table723624[[#This Row],[VP - 1]:[VP - 54]])</f>
        <v>0</v>
      </c>
      <c r="J59" s="74" t="str">
        <f>IFERROR(VLOOKUP(Table723624[[#This Row],[Species]],'VP1'!$C:$I,7,FALSE),"")</f>
        <v/>
      </c>
      <c r="K59" s="74" t="str">
        <f>IFERROR(VLOOKUP(Table723624[[#This Row],[Species]],'VP2'!$C:$I,7,FALSE),"")</f>
        <v/>
      </c>
      <c r="L59" s="74"/>
      <c r="M59" s="74"/>
      <c r="N59" s="74"/>
      <c r="O59" s="74"/>
      <c r="P59" s="88"/>
      <c r="Q59" s="66"/>
      <c r="R59" s="66"/>
      <c r="S59" s="66"/>
      <c r="T59" s="66"/>
      <c r="U59" s="66"/>
      <c r="V59" s="66"/>
      <c r="W59" s="66"/>
      <c r="X59" s="122"/>
      <c r="Y59" s="122"/>
      <c r="Z59" s="122"/>
      <c r="AA59" s="66"/>
      <c r="AB59" s="66"/>
      <c r="AC59" s="66"/>
      <c r="AD59" s="66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74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116"/>
      <c r="BD59" s="74"/>
      <c r="BE59" s="74"/>
      <c r="BF59" s="74"/>
      <c r="BG59" s="74"/>
      <c r="BH59" s="74"/>
      <c r="BI59" s="74"/>
      <c r="BJ59" s="74"/>
      <c r="BK59" s="74"/>
    </row>
    <row r="60" spans="1:63" s="6" customFormat="1" ht="15" thickBot="1" x14ac:dyDescent="0.4">
      <c r="A60" s="73" t="s">
        <v>123</v>
      </c>
      <c r="B60" s="48" t="e">
        <f t="shared" si="0"/>
        <v>#DIV/0!</v>
      </c>
      <c r="C60" s="79"/>
      <c r="D60" s="36"/>
      <c r="E60" s="36"/>
      <c r="F60" s="36"/>
      <c r="G60" s="36"/>
      <c r="H60" s="46">
        <f>SUM(Table723624[[#This Row],[&lt; 2]:[&gt;12]])</f>
        <v>0</v>
      </c>
      <c r="I60" s="38">
        <f>SUM(Table723624[[#This Row],[VP - 1]:[VP - 54]])</f>
        <v>0</v>
      </c>
      <c r="J60" s="74" t="str">
        <f>IFERROR(VLOOKUP(Table723624[[#This Row],[Species]],'VP1'!$C:$I,7,FALSE),"")</f>
        <v/>
      </c>
      <c r="K60" s="74" t="str">
        <f>IFERROR(VLOOKUP(Table723624[[#This Row],[Species]],'VP2'!$C:$I,7,FALSE),"")</f>
        <v/>
      </c>
      <c r="L60" s="74"/>
      <c r="M60" s="74"/>
      <c r="N60" s="74"/>
      <c r="O60" s="74"/>
      <c r="P60" s="88"/>
      <c r="Q60" s="66"/>
      <c r="R60" s="66"/>
      <c r="S60" s="66"/>
      <c r="T60" s="66"/>
      <c r="U60" s="66"/>
      <c r="V60" s="66"/>
      <c r="W60" s="66"/>
      <c r="X60" s="122"/>
      <c r="Y60" s="122"/>
      <c r="Z60" s="122"/>
      <c r="AA60" s="66"/>
      <c r="AB60" s="66"/>
      <c r="AC60" s="66"/>
      <c r="AD60" s="66"/>
      <c r="AE60" s="89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116"/>
      <c r="BD60" s="74"/>
      <c r="BE60" s="74"/>
      <c r="BF60" s="74"/>
      <c r="BG60" s="74"/>
      <c r="BH60" s="74"/>
      <c r="BI60" s="74"/>
      <c r="BJ60" s="74"/>
      <c r="BK60" s="74"/>
    </row>
    <row r="61" spans="1:63" s="6" customFormat="1" ht="15" thickBot="1" x14ac:dyDescent="0.4">
      <c r="A61" s="104" t="s">
        <v>133</v>
      </c>
      <c r="B61" s="28" t="e">
        <f t="shared" si="0"/>
        <v>#DIV/0!</v>
      </c>
      <c r="C61" s="105"/>
      <c r="D61" s="106"/>
      <c r="E61" s="106"/>
      <c r="F61" s="106"/>
      <c r="G61" s="106"/>
      <c r="H61" s="114">
        <f>SUM(Table723624[[#This Row],[&lt; 2]:[&gt;12]])</f>
        <v>0</v>
      </c>
      <c r="I61" s="29">
        <f>SUM(Table723624[[#This Row],[VP - 1]:[VP - 54]])</f>
        <v>0</v>
      </c>
      <c r="J61" s="87" t="str">
        <f>IFERROR(VLOOKUP(Table723624[[#This Row],[Species]],'VP1'!$C:$I,7,FALSE),"")</f>
        <v/>
      </c>
      <c r="K61" s="87" t="str">
        <f>IFERROR(VLOOKUP(Table723624[[#This Row],[Species]],'VP2'!$C:$I,7,FALSE),"")</f>
        <v/>
      </c>
      <c r="L61" s="87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91"/>
      <c r="Y61" s="91"/>
      <c r="Z61" s="91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1"/>
      <c r="AR61" s="61"/>
      <c r="AS61" s="61"/>
      <c r="AT61" s="61"/>
      <c r="AU61" s="61"/>
      <c r="AV61" s="61"/>
      <c r="AW61" s="61"/>
      <c r="AX61" s="61"/>
      <c r="AY61" s="61"/>
      <c r="AZ61" s="61"/>
      <c r="BA61" s="61"/>
      <c r="BB61" s="61"/>
      <c r="BC61" s="107"/>
      <c r="BD61" s="61"/>
      <c r="BE61" s="61"/>
      <c r="BF61" s="61"/>
      <c r="BG61" s="61"/>
      <c r="BH61" s="61"/>
      <c r="BI61" s="61"/>
      <c r="BJ61" s="61"/>
      <c r="BK61" s="61"/>
    </row>
    <row r="62" spans="1:63" ht="15" thickBot="1" x14ac:dyDescent="0.4">
      <c r="A62" s="32" t="s">
        <v>7</v>
      </c>
      <c r="B62" s="45"/>
      <c r="C62" s="5">
        <f t="shared" ref="C62:G62" si="1">SUM(C3:C55)</f>
        <v>0</v>
      </c>
      <c r="D62" s="5">
        <f t="shared" si="1"/>
        <v>0</v>
      </c>
      <c r="E62" s="5">
        <f t="shared" si="1"/>
        <v>0</v>
      </c>
      <c r="F62" s="5">
        <f t="shared" si="1"/>
        <v>0</v>
      </c>
      <c r="G62" s="5">
        <f t="shared" si="1"/>
        <v>0</v>
      </c>
      <c r="H62" s="5">
        <f>SUM(H3:H61)</f>
        <v>0</v>
      </c>
      <c r="I62" s="18">
        <f>SUM(I5:I61)</f>
        <v>0</v>
      </c>
      <c r="J62" s="16">
        <f>SUM(Table723624[VP - 1])</f>
        <v>0</v>
      </c>
      <c r="K62" s="16">
        <f>SUM(Table723624[VP - 2])</f>
        <v>0</v>
      </c>
      <c r="L62" s="16">
        <f>SUM(Table723624[VP - 3])</f>
        <v>0</v>
      </c>
      <c r="M62" s="16">
        <f>SUM(Table723624[VP - 4])</f>
        <v>0</v>
      </c>
      <c r="N62" s="16">
        <f>SUM(Table723624[VP - 5])</f>
        <v>0</v>
      </c>
      <c r="O62" s="16">
        <f>SUM(Table723624[VP - 6])</f>
        <v>0</v>
      </c>
      <c r="P62" s="16">
        <f>SUM(Table723624[VP - 7])</f>
        <v>0</v>
      </c>
      <c r="Q62" s="16">
        <f>SUM(Table723624[VP - 8])</f>
        <v>0</v>
      </c>
      <c r="R62" s="16">
        <f>SUM(Table723624[VP - 9])</f>
        <v>0</v>
      </c>
      <c r="S62" s="16">
        <f>SUM(Table723624[VP - 10])</f>
        <v>0</v>
      </c>
      <c r="T62" s="16">
        <f>SUM(Table723624[VP - 11])</f>
        <v>0</v>
      </c>
      <c r="U62" s="16">
        <f>SUM(Table723624[VP - 12])</f>
        <v>0</v>
      </c>
      <c r="V62" s="16">
        <f>SUM(Table723624[VP - 13])</f>
        <v>0</v>
      </c>
      <c r="W62" s="16">
        <f>SUM(Table723624[VP - 14])</f>
        <v>0</v>
      </c>
      <c r="X62" s="16">
        <f>SUM(Table723624[VP - 15])</f>
        <v>0</v>
      </c>
      <c r="Y62" s="16">
        <f>SUM(Table723624[VP - 16])</f>
        <v>0</v>
      </c>
      <c r="Z62" s="16">
        <f>SUM(Table723624[VP - 17])</f>
        <v>0</v>
      </c>
      <c r="AA62" s="16">
        <f>SUM(Table723624[VP - 18])</f>
        <v>0</v>
      </c>
      <c r="AB62" s="16">
        <f>SUM(Table723624[VP - 19])</f>
        <v>0</v>
      </c>
      <c r="AC62" s="16">
        <f>SUM(Table723624[VP - 20])</f>
        <v>0</v>
      </c>
      <c r="AD62" s="16">
        <f>SUM(Table723624[VP - 21])</f>
        <v>0</v>
      </c>
      <c r="AE62" s="16">
        <f>SUM(Table723624[VP - 22])</f>
        <v>0</v>
      </c>
      <c r="AF62" s="16">
        <f>SUM(Table723624[VP - 23])</f>
        <v>0</v>
      </c>
      <c r="AG62" s="16">
        <f>SUM(Table723624[VP - 24])</f>
        <v>0</v>
      </c>
      <c r="AH62" s="16">
        <f>SUM(Table723624[VP - 25])</f>
        <v>0</v>
      </c>
      <c r="AI62" s="16">
        <f>SUM(Table723624[VP - 26])</f>
        <v>0</v>
      </c>
      <c r="AJ62" s="16">
        <f>SUM(Table723624[VP - 27])</f>
        <v>0</v>
      </c>
      <c r="AK62" s="16">
        <f>SUM(Table723624[VP - 28])</f>
        <v>0</v>
      </c>
      <c r="AL62" s="16">
        <f>SUM(Table723624[VP - 29])</f>
        <v>0</v>
      </c>
      <c r="AM62" s="16">
        <f>SUM(Table723624[VP - 30])</f>
        <v>0</v>
      </c>
      <c r="AN62" s="16">
        <f>SUM(Table723624[VP - 31])</f>
        <v>0</v>
      </c>
      <c r="AO62" s="16">
        <f>SUM(Table723624[VP -32])</f>
        <v>0</v>
      </c>
      <c r="AP62" s="16">
        <f>SUM(Table723624[VP -33])</f>
        <v>0</v>
      </c>
      <c r="AQ62" s="16">
        <f>SUM(Table723624[VP - 34])</f>
        <v>0</v>
      </c>
      <c r="AR62" s="16">
        <f>SUM(Table723624[VP - 35])</f>
        <v>0</v>
      </c>
      <c r="AS62" s="16">
        <f>SUM(Table723624[VP - 36])</f>
        <v>0</v>
      </c>
      <c r="AT62" s="16">
        <f>SUM(Table723624[VP - 37])</f>
        <v>0</v>
      </c>
      <c r="AU62" s="16">
        <f>SUM(Table723624[VP - 38])</f>
        <v>0</v>
      </c>
      <c r="AV62" s="16">
        <f>SUM(Table723624[VP -39])</f>
        <v>0</v>
      </c>
      <c r="AW62" s="16">
        <f>SUM(Table723624[VP - 40])</f>
        <v>0</v>
      </c>
      <c r="AX62" s="16">
        <f>SUM(Table723624[VP - 41])</f>
        <v>0</v>
      </c>
      <c r="AY62" s="16">
        <f>SUM(Table723624[VP - 42])</f>
        <v>0</v>
      </c>
      <c r="AZ62" s="16">
        <f>SUM(Table723624[VP - 43])</f>
        <v>0</v>
      </c>
      <c r="BA62" s="16">
        <f>SUM(Table723624[VP - 44])</f>
        <v>0</v>
      </c>
      <c r="BB62" s="16">
        <f>SUM(Table723624[VP - 45])</f>
        <v>0</v>
      </c>
      <c r="BC62" s="16">
        <f>SUM(Table723624[VP - 46])</f>
        <v>0</v>
      </c>
      <c r="BD62" s="16">
        <f>SUM(Table723624[VP - 47])</f>
        <v>0</v>
      </c>
      <c r="BE62" s="16">
        <f>SUM(Table723624[VP - 48])</f>
        <v>0</v>
      </c>
      <c r="BF62" s="16">
        <f>SUM(Table723624[VP - 49])</f>
        <v>0</v>
      </c>
      <c r="BG62" s="16">
        <f>SUM(Table723624[VP - 50])</f>
        <v>0</v>
      </c>
      <c r="BH62" s="16">
        <f>SUM(Table723624[VP - 51])</f>
        <v>0</v>
      </c>
      <c r="BI62" s="16">
        <f>SUM(Table723624[VP - 52])</f>
        <v>0</v>
      </c>
      <c r="BJ62" s="16">
        <f>SUM(Table723624[VP - 53])</f>
        <v>0</v>
      </c>
      <c r="BK62" s="16">
        <f>SUM(Table723624[VP - 54])</f>
        <v>0</v>
      </c>
    </row>
    <row r="63" spans="1:63" ht="15" thickBot="1" x14ac:dyDescent="0.4">
      <c r="A63" s="32" t="s">
        <v>8</v>
      </c>
      <c r="B63" s="45"/>
      <c r="C63" s="140" t="e">
        <f>C62/$H$62</f>
        <v>#DIV/0!</v>
      </c>
      <c r="D63" s="140" t="e">
        <f t="shared" ref="D63:G63" si="2">D62/$H$62</f>
        <v>#DIV/0!</v>
      </c>
      <c r="E63" s="140" t="e">
        <f t="shared" si="2"/>
        <v>#DIV/0!</v>
      </c>
      <c r="F63" s="140" t="e">
        <f t="shared" si="2"/>
        <v>#DIV/0!</v>
      </c>
      <c r="G63" s="140" t="e">
        <f t="shared" si="2"/>
        <v>#DIV/0!</v>
      </c>
      <c r="H63" s="140" t="e">
        <f>SUM(C63:G63)</f>
        <v>#DIV/0!</v>
      </c>
      <c r="AY63" s="4"/>
      <c r="BD63" s="6"/>
      <c r="BE63" s="6"/>
      <c r="BF63" s="6"/>
      <c r="BG63" s="6"/>
      <c r="BH63" s="6"/>
      <c r="BI63" s="6"/>
      <c r="BJ63" s="6"/>
      <c r="BK63" s="6"/>
    </row>
    <row r="64" spans="1:63" ht="15" thickBot="1" x14ac:dyDescent="0.4">
      <c r="B64" s="1"/>
      <c r="F64" s="187" t="s">
        <v>51</v>
      </c>
      <c r="G64" s="188"/>
      <c r="H64" s="188"/>
      <c r="I64" s="188"/>
      <c r="J64" s="19">
        <f>SUM(J5:J61)</f>
        <v>0</v>
      </c>
      <c r="K64" s="19">
        <f t="shared" ref="K64:BK64" si="3">SUM(K5:K61)</f>
        <v>0</v>
      </c>
      <c r="L64" s="19">
        <f t="shared" si="3"/>
        <v>0</v>
      </c>
      <c r="M64" s="19">
        <f t="shared" si="3"/>
        <v>0</v>
      </c>
      <c r="N64" s="19">
        <f t="shared" si="3"/>
        <v>0</v>
      </c>
      <c r="O64" s="19">
        <f t="shared" si="3"/>
        <v>0</v>
      </c>
      <c r="P64" s="19">
        <f t="shared" si="3"/>
        <v>0</v>
      </c>
      <c r="Q64" s="19">
        <f t="shared" si="3"/>
        <v>0</v>
      </c>
      <c r="R64" s="19">
        <f t="shared" si="3"/>
        <v>0</v>
      </c>
      <c r="S64" s="19">
        <f t="shared" si="3"/>
        <v>0</v>
      </c>
      <c r="T64" s="19">
        <f t="shared" si="3"/>
        <v>0</v>
      </c>
      <c r="U64" s="19">
        <f t="shared" si="3"/>
        <v>0</v>
      </c>
      <c r="V64" s="19">
        <f t="shared" si="3"/>
        <v>0</v>
      </c>
      <c r="W64" s="19">
        <f t="shared" si="3"/>
        <v>0</v>
      </c>
      <c r="X64" s="19">
        <f t="shared" si="3"/>
        <v>0</v>
      </c>
      <c r="Y64" s="19">
        <f t="shared" si="3"/>
        <v>0</v>
      </c>
      <c r="Z64" s="19">
        <f t="shared" si="3"/>
        <v>0</v>
      </c>
      <c r="AA64" s="19">
        <f t="shared" si="3"/>
        <v>0</v>
      </c>
      <c r="AB64" s="19">
        <f t="shared" si="3"/>
        <v>0</v>
      </c>
      <c r="AC64" s="19">
        <f t="shared" si="3"/>
        <v>0</v>
      </c>
      <c r="AD64" s="19">
        <f t="shared" si="3"/>
        <v>0</v>
      </c>
      <c r="AE64" s="19">
        <f t="shared" si="3"/>
        <v>0</v>
      </c>
      <c r="AF64" s="19">
        <f t="shared" si="3"/>
        <v>0</v>
      </c>
      <c r="AG64" s="19">
        <f t="shared" si="3"/>
        <v>0</v>
      </c>
      <c r="AH64" s="19">
        <f t="shared" si="3"/>
        <v>0</v>
      </c>
      <c r="AI64" s="19">
        <f t="shared" si="3"/>
        <v>0</v>
      </c>
      <c r="AJ64" s="19">
        <f t="shared" si="3"/>
        <v>0</v>
      </c>
      <c r="AK64" s="19">
        <f t="shared" si="3"/>
        <v>0</v>
      </c>
      <c r="AL64" s="19">
        <f t="shared" si="3"/>
        <v>0</v>
      </c>
      <c r="AM64" s="19">
        <f t="shared" si="3"/>
        <v>0</v>
      </c>
      <c r="AN64" s="19">
        <f t="shared" si="3"/>
        <v>0</v>
      </c>
      <c r="AO64" s="19">
        <f t="shared" si="3"/>
        <v>0</v>
      </c>
      <c r="AP64" s="19">
        <f t="shared" si="3"/>
        <v>0</v>
      </c>
      <c r="AQ64" s="19">
        <f t="shared" si="3"/>
        <v>0</v>
      </c>
      <c r="AR64" s="19">
        <f t="shared" si="3"/>
        <v>0</v>
      </c>
      <c r="AS64" s="19">
        <f t="shared" si="3"/>
        <v>0</v>
      </c>
      <c r="AT64" s="19">
        <f t="shared" si="3"/>
        <v>0</v>
      </c>
      <c r="AU64" s="19">
        <f t="shared" si="3"/>
        <v>0</v>
      </c>
      <c r="AV64" s="19">
        <f t="shared" si="3"/>
        <v>0</v>
      </c>
      <c r="AW64" s="19">
        <f t="shared" si="3"/>
        <v>0</v>
      </c>
      <c r="AX64" s="19">
        <f t="shared" si="3"/>
        <v>0</v>
      </c>
      <c r="AY64" s="19">
        <f t="shared" si="3"/>
        <v>0</v>
      </c>
      <c r="AZ64" s="19">
        <f t="shared" si="3"/>
        <v>0</v>
      </c>
      <c r="BA64" s="19">
        <f t="shared" si="3"/>
        <v>0</v>
      </c>
      <c r="BB64" s="19">
        <f t="shared" si="3"/>
        <v>0</v>
      </c>
      <c r="BC64" s="19">
        <f t="shared" si="3"/>
        <v>0</v>
      </c>
      <c r="BD64" s="19">
        <f t="shared" si="3"/>
        <v>0</v>
      </c>
      <c r="BE64" s="19">
        <f t="shared" si="3"/>
        <v>0</v>
      </c>
      <c r="BF64" s="19">
        <f t="shared" si="3"/>
        <v>0</v>
      </c>
      <c r="BG64" s="19">
        <f t="shared" si="3"/>
        <v>0</v>
      </c>
      <c r="BH64" s="19">
        <f t="shared" si="3"/>
        <v>0</v>
      </c>
      <c r="BI64" s="19">
        <f t="shared" si="3"/>
        <v>0</v>
      </c>
      <c r="BJ64" s="19">
        <f t="shared" si="3"/>
        <v>0</v>
      </c>
      <c r="BK64" s="19">
        <f t="shared" si="3"/>
        <v>0</v>
      </c>
    </row>
    <row r="65" spans="1:63" ht="15" thickBot="1" x14ac:dyDescent="0.4">
      <c r="B65" s="47" t="e">
        <f>SUM(Table723624[Percent])</f>
        <v>#DIV/0!</v>
      </c>
      <c r="F65" s="189" t="s">
        <v>53</v>
      </c>
      <c r="G65" s="190"/>
      <c r="H65" s="190"/>
      <c r="I65" s="191"/>
      <c r="J65" s="26">
        <f>J64*50</f>
        <v>0</v>
      </c>
      <c r="K65" s="26">
        <f t="shared" ref="K65:AB65" si="4">K64*50</f>
        <v>0</v>
      </c>
      <c r="L65" s="26">
        <f t="shared" si="4"/>
        <v>0</v>
      </c>
      <c r="M65" s="26">
        <f t="shared" si="4"/>
        <v>0</v>
      </c>
      <c r="N65" s="26">
        <f t="shared" si="4"/>
        <v>0</v>
      </c>
      <c r="O65" s="26">
        <f t="shared" si="4"/>
        <v>0</v>
      </c>
      <c r="P65" s="26">
        <f t="shared" si="4"/>
        <v>0</v>
      </c>
      <c r="Q65" s="26">
        <f t="shared" si="4"/>
        <v>0</v>
      </c>
      <c r="R65" s="26">
        <f t="shared" si="4"/>
        <v>0</v>
      </c>
      <c r="S65" s="26">
        <f t="shared" si="4"/>
        <v>0</v>
      </c>
      <c r="T65" s="26">
        <f t="shared" si="4"/>
        <v>0</v>
      </c>
      <c r="U65" s="26">
        <f t="shared" si="4"/>
        <v>0</v>
      </c>
      <c r="V65" s="26">
        <f t="shared" si="4"/>
        <v>0</v>
      </c>
      <c r="W65" s="26">
        <f t="shared" si="4"/>
        <v>0</v>
      </c>
      <c r="X65" s="26">
        <f t="shared" si="4"/>
        <v>0</v>
      </c>
      <c r="Y65" s="26">
        <f t="shared" si="4"/>
        <v>0</v>
      </c>
      <c r="Z65" s="26">
        <f t="shared" si="4"/>
        <v>0</v>
      </c>
      <c r="AA65" s="26">
        <f t="shared" si="4"/>
        <v>0</v>
      </c>
      <c r="AB65" s="26">
        <f t="shared" si="4"/>
        <v>0</v>
      </c>
      <c r="AC65" s="26">
        <f>AC64*50</f>
        <v>0</v>
      </c>
      <c r="AD65" s="26">
        <f t="shared" ref="AD65:BK65" si="5">AD64*50</f>
        <v>0</v>
      </c>
      <c r="AE65" s="26">
        <f t="shared" si="5"/>
        <v>0</v>
      </c>
      <c r="AF65" s="26">
        <f t="shared" si="5"/>
        <v>0</v>
      </c>
      <c r="AG65" s="26">
        <f t="shared" si="5"/>
        <v>0</v>
      </c>
      <c r="AH65" s="26">
        <f t="shared" si="5"/>
        <v>0</v>
      </c>
      <c r="AI65" s="26">
        <f t="shared" si="5"/>
        <v>0</v>
      </c>
      <c r="AJ65" s="26">
        <f t="shared" si="5"/>
        <v>0</v>
      </c>
      <c r="AK65" s="26">
        <f t="shared" si="5"/>
        <v>0</v>
      </c>
      <c r="AL65" s="26">
        <f t="shared" si="5"/>
        <v>0</v>
      </c>
      <c r="AM65" s="26">
        <f t="shared" si="5"/>
        <v>0</v>
      </c>
      <c r="AN65" s="26">
        <f t="shared" si="5"/>
        <v>0</v>
      </c>
      <c r="AO65" s="26">
        <f t="shared" si="5"/>
        <v>0</v>
      </c>
      <c r="AP65" s="26">
        <f t="shared" si="5"/>
        <v>0</v>
      </c>
      <c r="AQ65" s="26">
        <f t="shared" si="5"/>
        <v>0</v>
      </c>
      <c r="AR65" s="26">
        <f t="shared" si="5"/>
        <v>0</v>
      </c>
      <c r="AS65" s="26">
        <f t="shared" si="5"/>
        <v>0</v>
      </c>
      <c r="AT65" s="26">
        <f t="shared" si="5"/>
        <v>0</v>
      </c>
      <c r="AU65" s="26">
        <f t="shared" si="5"/>
        <v>0</v>
      </c>
      <c r="AV65" s="26">
        <f t="shared" si="5"/>
        <v>0</v>
      </c>
      <c r="AW65" s="26">
        <f t="shared" si="5"/>
        <v>0</v>
      </c>
      <c r="AX65" s="26">
        <f t="shared" si="5"/>
        <v>0</v>
      </c>
      <c r="AY65" s="26">
        <f t="shared" si="5"/>
        <v>0</v>
      </c>
      <c r="AZ65" s="26">
        <f t="shared" si="5"/>
        <v>0</v>
      </c>
      <c r="BA65" s="26">
        <f t="shared" si="5"/>
        <v>0</v>
      </c>
      <c r="BB65" s="26">
        <f t="shared" si="5"/>
        <v>0</v>
      </c>
      <c r="BC65" s="44">
        <f t="shared" si="5"/>
        <v>0</v>
      </c>
      <c r="BD65" s="26">
        <f t="shared" si="5"/>
        <v>0</v>
      </c>
      <c r="BE65" s="26">
        <f t="shared" si="5"/>
        <v>0</v>
      </c>
      <c r="BF65" s="26">
        <f t="shared" si="5"/>
        <v>0</v>
      </c>
      <c r="BG65" s="26">
        <f t="shared" si="5"/>
        <v>0</v>
      </c>
      <c r="BH65" s="26">
        <f t="shared" si="5"/>
        <v>0</v>
      </c>
      <c r="BI65" s="26">
        <f t="shared" si="5"/>
        <v>0</v>
      </c>
      <c r="BJ65" s="26">
        <f t="shared" si="5"/>
        <v>0</v>
      </c>
      <c r="BK65" s="26">
        <f t="shared" si="5"/>
        <v>0</v>
      </c>
    </row>
    <row r="66" spans="1:63" ht="15" thickBot="1" x14ac:dyDescent="0.4">
      <c r="B66" s="1"/>
      <c r="F66" s="192" t="s">
        <v>50</v>
      </c>
      <c r="G66" s="190"/>
      <c r="H66" s="190"/>
      <c r="I66" s="191"/>
      <c r="J66" s="27">
        <f>SUM(J6,J7,J8,J10,J11,J12,J13,J14,J15,J18,J20,J21,J23,J26,J27,J30,J33,J36,J37,J38,J39,J40,J41,J42,J43,J45,J46,J51,J53,J55,J56,J57,J59,J60)</f>
        <v>0</v>
      </c>
      <c r="K66" s="27">
        <f t="shared" ref="K66:BK66" si="6">SUM(K6,K7,K8,K10,K11,K12,K13,K14,K15,K18,K20,K21,K23,K26,K27,K30,K33,K36,K37,K38,K39,K40,K41,K42,K43,K45,K46,K51,K53,K55,K56,K57,K59,K60)</f>
        <v>0</v>
      </c>
      <c r="L66" s="27">
        <f t="shared" si="6"/>
        <v>0</v>
      </c>
      <c r="M66" s="27">
        <f t="shared" si="6"/>
        <v>0</v>
      </c>
      <c r="N66" s="27">
        <f t="shared" si="6"/>
        <v>0</v>
      </c>
      <c r="O66" s="27">
        <f t="shared" si="6"/>
        <v>0</v>
      </c>
      <c r="P66" s="27">
        <f t="shared" si="6"/>
        <v>0</v>
      </c>
      <c r="Q66" s="27">
        <f t="shared" si="6"/>
        <v>0</v>
      </c>
      <c r="R66" s="27">
        <f t="shared" si="6"/>
        <v>0</v>
      </c>
      <c r="S66" s="27">
        <f t="shared" si="6"/>
        <v>0</v>
      </c>
      <c r="T66" s="27">
        <f t="shared" si="6"/>
        <v>0</v>
      </c>
      <c r="U66" s="27">
        <f t="shared" si="6"/>
        <v>0</v>
      </c>
      <c r="V66" s="27">
        <f t="shared" si="6"/>
        <v>0</v>
      </c>
      <c r="W66" s="27">
        <f t="shared" si="6"/>
        <v>0</v>
      </c>
      <c r="X66" s="27">
        <f t="shared" si="6"/>
        <v>0</v>
      </c>
      <c r="Y66" s="27">
        <f t="shared" si="6"/>
        <v>0</v>
      </c>
      <c r="Z66" s="27">
        <f t="shared" si="6"/>
        <v>0</v>
      </c>
      <c r="AA66" s="27">
        <f t="shared" si="6"/>
        <v>0</v>
      </c>
      <c r="AB66" s="27">
        <f t="shared" si="6"/>
        <v>0</v>
      </c>
      <c r="AC66" s="27">
        <f t="shared" si="6"/>
        <v>0</v>
      </c>
      <c r="AD66" s="27">
        <f t="shared" si="6"/>
        <v>0</v>
      </c>
      <c r="AE66" s="27">
        <f t="shared" si="6"/>
        <v>0</v>
      </c>
      <c r="AF66" s="27">
        <f t="shared" si="6"/>
        <v>0</v>
      </c>
      <c r="AG66" s="27">
        <f t="shared" si="6"/>
        <v>0</v>
      </c>
      <c r="AH66" s="27">
        <f t="shared" si="6"/>
        <v>0</v>
      </c>
      <c r="AI66" s="27">
        <f t="shared" si="6"/>
        <v>0</v>
      </c>
      <c r="AJ66" s="27">
        <f t="shared" si="6"/>
        <v>0</v>
      </c>
      <c r="AK66" s="27">
        <f t="shared" si="6"/>
        <v>0</v>
      </c>
      <c r="AL66" s="27">
        <f t="shared" si="6"/>
        <v>0</v>
      </c>
      <c r="AM66" s="27">
        <f t="shared" si="6"/>
        <v>0</v>
      </c>
      <c r="AN66" s="27">
        <f t="shared" si="6"/>
        <v>0</v>
      </c>
      <c r="AO66" s="27">
        <f t="shared" si="6"/>
        <v>0</v>
      </c>
      <c r="AP66" s="27">
        <f t="shared" si="6"/>
        <v>0</v>
      </c>
      <c r="AQ66" s="27">
        <f t="shared" si="6"/>
        <v>0</v>
      </c>
      <c r="AR66" s="27">
        <f t="shared" si="6"/>
        <v>0</v>
      </c>
      <c r="AS66" s="27">
        <f t="shared" si="6"/>
        <v>0</v>
      </c>
      <c r="AT66" s="27">
        <f t="shared" si="6"/>
        <v>0</v>
      </c>
      <c r="AU66" s="27">
        <f t="shared" si="6"/>
        <v>0</v>
      </c>
      <c r="AV66" s="27">
        <f t="shared" si="6"/>
        <v>0</v>
      </c>
      <c r="AW66" s="27">
        <f t="shared" si="6"/>
        <v>0</v>
      </c>
      <c r="AX66" s="27">
        <f t="shared" si="6"/>
        <v>0</v>
      </c>
      <c r="AY66" s="27">
        <f t="shared" si="6"/>
        <v>0</v>
      </c>
      <c r="AZ66" s="27">
        <f t="shared" si="6"/>
        <v>0</v>
      </c>
      <c r="BA66" s="27">
        <f t="shared" si="6"/>
        <v>0</v>
      </c>
      <c r="BB66" s="27">
        <f t="shared" si="6"/>
        <v>0</v>
      </c>
      <c r="BC66" s="27">
        <f t="shared" si="6"/>
        <v>0</v>
      </c>
      <c r="BD66" s="27">
        <f t="shared" si="6"/>
        <v>0</v>
      </c>
      <c r="BE66" s="27">
        <f t="shared" si="6"/>
        <v>0</v>
      </c>
      <c r="BF66" s="27">
        <f t="shared" si="6"/>
        <v>0</v>
      </c>
      <c r="BG66" s="27">
        <f t="shared" si="6"/>
        <v>0</v>
      </c>
      <c r="BH66" s="27">
        <f t="shared" si="6"/>
        <v>0</v>
      </c>
      <c r="BI66" s="27">
        <f t="shared" si="6"/>
        <v>0</v>
      </c>
      <c r="BJ66" s="27">
        <f t="shared" si="6"/>
        <v>0</v>
      </c>
      <c r="BK66" s="27">
        <f t="shared" si="6"/>
        <v>0</v>
      </c>
    </row>
    <row r="67" spans="1:63" ht="15" thickBot="1" x14ac:dyDescent="0.4">
      <c r="F67" s="192" t="s">
        <v>52</v>
      </c>
      <c r="G67" s="190"/>
      <c r="H67" s="190"/>
      <c r="I67" s="191"/>
      <c r="J67" s="26">
        <f>J66*50</f>
        <v>0</v>
      </c>
      <c r="K67" s="26">
        <f t="shared" ref="K67:BK67" si="7">K66*50</f>
        <v>0</v>
      </c>
      <c r="L67" s="26">
        <f t="shared" si="7"/>
        <v>0</v>
      </c>
      <c r="M67" s="26">
        <f t="shared" si="7"/>
        <v>0</v>
      </c>
      <c r="N67" s="26">
        <f t="shared" si="7"/>
        <v>0</v>
      </c>
      <c r="O67" s="26">
        <f t="shared" si="7"/>
        <v>0</v>
      </c>
      <c r="P67" s="26">
        <f t="shared" si="7"/>
        <v>0</v>
      </c>
      <c r="Q67" s="26">
        <f t="shared" si="7"/>
        <v>0</v>
      </c>
      <c r="R67" s="26">
        <f t="shared" si="7"/>
        <v>0</v>
      </c>
      <c r="S67" s="26">
        <f t="shared" si="7"/>
        <v>0</v>
      </c>
      <c r="T67" s="26">
        <f t="shared" si="7"/>
        <v>0</v>
      </c>
      <c r="U67" s="26">
        <f t="shared" si="7"/>
        <v>0</v>
      </c>
      <c r="V67" s="26">
        <f t="shared" si="7"/>
        <v>0</v>
      </c>
      <c r="W67" s="26">
        <f t="shared" si="7"/>
        <v>0</v>
      </c>
      <c r="X67" s="26">
        <f t="shared" si="7"/>
        <v>0</v>
      </c>
      <c r="Y67" s="26">
        <f t="shared" si="7"/>
        <v>0</v>
      </c>
      <c r="Z67" s="26">
        <f t="shared" si="7"/>
        <v>0</v>
      </c>
      <c r="AA67" s="26">
        <f t="shared" si="7"/>
        <v>0</v>
      </c>
      <c r="AB67" s="26">
        <f t="shared" si="7"/>
        <v>0</v>
      </c>
      <c r="AC67" s="26">
        <f t="shared" si="7"/>
        <v>0</v>
      </c>
      <c r="AD67" s="26">
        <f t="shared" si="7"/>
        <v>0</v>
      </c>
      <c r="AE67" s="26">
        <f t="shared" si="7"/>
        <v>0</v>
      </c>
      <c r="AF67" s="26">
        <f t="shared" si="7"/>
        <v>0</v>
      </c>
      <c r="AG67" s="26">
        <f t="shared" si="7"/>
        <v>0</v>
      </c>
      <c r="AH67" s="26">
        <f t="shared" si="7"/>
        <v>0</v>
      </c>
      <c r="AI67" s="26">
        <f t="shared" si="7"/>
        <v>0</v>
      </c>
      <c r="AJ67" s="26">
        <f t="shared" si="7"/>
        <v>0</v>
      </c>
      <c r="AK67" s="26">
        <f t="shared" si="7"/>
        <v>0</v>
      </c>
      <c r="AL67" s="26">
        <f t="shared" si="7"/>
        <v>0</v>
      </c>
      <c r="AM67" s="26">
        <f t="shared" si="7"/>
        <v>0</v>
      </c>
      <c r="AN67" s="26">
        <f t="shared" si="7"/>
        <v>0</v>
      </c>
      <c r="AO67" s="26">
        <f t="shared" si="7"/>
        <v>0</v>
      </c>
      <c r="AP67" s="26">
        <f t="shared" si="7"/>
        <v>0</v>
      </c>
      <c r="AQ67" s="26">
        <f t="shared" si="7"/>
        <v>0</v>
      </c>
      <c r="AR67" s="26">
        <f t="shared" si="7"/>
        <v>0</v>
      </c>
      <c r="AS67" s="26">
        <f t="shared" si="7"/>
        <v>0</v>
      </c>
      <c r="AT67" s="26">
        <f t="shared" si="7"/>
        <v>0</v>
      </c>
      <c r="AU67" s="26">
        <f t="shared" si="7"/>
        <v>0</v>
      </c>
      <c r="AV67" s="26">
        <f t="shared" si="7"/>
        <v>0</v>
      </c>
      <c r="AW67" s="26">
        <f t="shared" si="7"/>
        <v>0</v>
      </c>
      <c r="AX67" s="26">
        <f t="shared" si="7"/>
        <v>0</v>
      </c>
      <c r="AY67" s="26">
        <f t="shared" si="7"/>
        <v>0</v>
      </c>
      <c r="AZ67" s="26">
        <f t="shared" si="7"/>
        <v>0</v>
      </c>
      <c r="BA67" s="26">
        <f t="shared" si="7"/>
        <v>0</v>
      </c>
      <c r="BB67" s="26">
        <f t="shared" si="7"/>
        <v>0</v>
      </c>
      <c r="BC67" s="44">
        <f t="shared" si="7"/>
        <v>0</v>
      </c>
      <c r="BD67" s="26">
        <f t="shared" si="7"/>
        <v>0</v>
      </c>
      <c r="BE67" s="26">
        <f t="shared" si="7"/>
        <v>0</v>
      </c>
      <c r="BF67" s="26">
        <f t="shared" si="7"/>
        <v>0</v>
      </c>
      <c r="BG67" s="26">
        <f t="shared" si="7"/>
        <v>0</v>
      </c>
      <c r="BH67" s="26">
        <f t="shared" si="7"/>
        <v>0</v>
      </c>
      <c r="BI67" s="26">
        <f t="shared" si="7"/>
        <v>0</v>
      </c>
      <c r="BJ67" s="26">
        <f t="shared" si="7"/>
        <v>0</v>
      </c>
      <c r="BK67" s="26">
        <f t="shared" si="7"/>
        <v>0</v>
      </c>
    </row>
    <row r="68" spans="1:63" ht="15" thickBot="1" x14ac:dyDescent="0.4">
      <c r="I68" s="2"/>
      <c r="J68" s="7"/>
      <c r="K68" s="7"/>
      <c r="L68" s="7"/>
      <c r="M68" s="7"/>
      <c r="N68" s="7"/>
      <c r="O68" s="7"/>
      <c r="P68" s="7"/>
      <c r="Q68" s="7"/>
      <c r="AZ68" s="4"/>
    </row>
    <row r="69" spans="1:63" ht="15" thickBot="1" x14ac:dyDescent="0.4">
      <c r="F69" s="195" t="s">
        <v>110</v>
      </c>
      <c r="G69" s="196"/>
      <c r="H69" s="197"/>
      <c r="I69" s="17">
        <f>I62</f>
        <v>0</v>
      </c>
      <c r="J69" s="7"/>
      <c r="K69" s="194" t="s">
        <v>54</v>
      </c>
      <c r="L69" s="194"/>
      <c r="M69" s="194"/>
      <c r="N69" s="115">
        <f>H83</f>
        <v>0</v>
      </c>
      <c r="P69" s="10"/>
      <c r="Q69" s="10"/>
      <c r="R69" s="10"/>
      <c r="S69" s="10"/>
      <c r="T69" s="10"/>
      <c r="AZ69" s="4"/>
    </row>
    <row r="70" spans="1:63" ht="15" thickBot="1" x14ac:dyDescent="0.4">
      <c r="B70" s="35" t="s">
        <v>91</v>
      </c>
      <c r="C70" s="34">
        <f>I71</f>
        <v>0</v>
      </c>
      <c r="F70" s="195" t="s">
        <v>15</v>
      </c>
      <c r="G70" s="196"/>
      <c r="H70" s="197"/>
      <c r="I70" s="17">
        <f>(I69*50)/Totalplots</f>
        <v>0</v>
      </c>
      <c r="J70" s="7"/>
      <c r="K70" s="194" t="s">
        <v>55</v>
      </c>
      <c r="L70" s="194"/>
      <c r="M70" s="194"/>
      <c r="N70" s="30" t="e">
        <f>(N69/(I69+N69))</f>
        <v>#DIV/0!</v>
      </c>
      <c r="P70" s="10"/>
      <c r="Q70" s="10"/>
      <c r="R70" s="10"/>
      <c r="S70" s="10"/>
      <c r="T70" s="10"/>
      <c r="AZ70" s="4"/>
    </row>
    <row r="71" spans="1:63" ht="15" thickBot="1" x14ac:dyDescent="0.4">
      <c r="C71" s="3"/>
      <c r="F71" s="195" t="s">
        <v>16</v>
      </c>
      <c r="G71" s="196"/>
      <c r="H71" s="197"/>
      <c r="I71" s="17">
        <f>SUM(J66:BK66)</f>
        <v>0</v>
      </c>
      <c r="J71" s="6"/>
      <c r="P71" s="10"/>
      <c r="Q71" s="10"/>
      <c r="R71" s="10"/>
      <c r="S71" s="10"/>
      <c r="T71" s="10"/>
      <c r="AZ71" s="4"/>
    </row>
    <row r="72" spans="1:63" ht="15" thickBot="1" x14ac:dyDescent="0.4">
      <c r="F72" s="195" t="s">
        <v>17</v>
      </c>
      <c r="G72" s="196"/>
      <c r="H72" s="197"/>
      <c r="I72" s="17">
        <f>(I71*50)/Totalplots</f>
        <v>0</v>
      </c>
      <c r="J72" s="6"/>
      <c r="P72" s="10"/>
      <c r="Q72" s="10"/>
      <c r="R72" s="10"/>
      <c r="S72" s="10"/>
      <c r="T72" s="10"/>
      <c r="AZ72" s="4"/>
    </row>
    <row r="75" spans="1:63" ht="19" thickBot="1" x14ac:dyDescent="0.5">
      <c r="A75" s="51" t="s">
        <v>100</v>
      </c>
      <c r="B75" s="6"/>
      <c r="C75" s="6"/>
      <c r="D75" s="6"/>
      <c r="E75" s="6"/>
      <c r="F75" s="6"/>
      <c r="G75" s="6"/>
      <c r="H75" s="6"/>
      <c r="I75" s="6"/>
      <c r="J75" s="6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63" ht="15" thickBot="1" x14ac:dyDescent="0.4">
      <c r="A76" s="52"/>
      <c r="B76" s="53"/>
      <c r="C76" s="198" t="s">
        <v>23</v>
      </c>
      <c r="D76" s="199"/>
      <c r="E76" s="199"/>
      <c r="F76" s="199"/>
      <c r="G76" s="200"/>
      <c r="H76" s="54"/>
      <c r="I76" s="16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42"/>
      <c r="BD76" s="42"/>
      <c r="BE76" s="42"/>
      <c r="BF76" s="42"/>
      <c r="BG76" s="42"/>
      <c r="BH76" s="42"/>
      <c r="BI76" s="42"/>
      <c r="BJ76" s="42"/>
      <c r="BK76" s="42"/>
    </row>
    <row r="77" spans="1:63" ht="15" thickBot="1" x14ac:dyDescent="0.4">
      <c r="A77" s="109" t="s">
        <v>131</v>
      </c>
      <c r="B77" s="109" t="s">
        <v>24</v>
      </c>
      <c r="C77" s="110" t="s">
        <v>9</v>
      </c>
      <c r="D77" s="111" t="s">
        <v>20</v>
      </c>
      <c r="E77" s="111" t="s">
        <v>21</v>
      </c>
      <c r="F77" s="111" t="s">
        <v>22</v>
      </c>
      <c r="G77" s="111" t="s">
        <v>101</v>
      </c>
      <c r="H77" s="24" t="s">
        <v>19</v>
      </c>
      <c r="I77" s="23" t="s">
        <v>25</v>
      </c>
      <c r="J77" s="24" t="s">
        <v>26</v>
      </c>
      <c r="K77" s="24" t="s">
        <v>27</v>
      </c>
      <c r="L77" s="24" t="s">
        <v>28</v>
      </c>
      <c r="M77" s="24" t="s">
        <v>29</v>
      </c>
      <c r="N77" s="24" t="s">
        <v>30</v>
      </c>
      <c r="O77" s="24" t="s">
        <v>31</v>
      </c>
      <c r="P77" s="24" t="s">
        <v>32</v>
      </c>
      <c r="Q77" s="24" t="s">
        <v>33</v>
      </c>
      <c r="R77" s="24" t="s">
        <v>34</v>
      </c>
      <c r="S77" s="24" t="s">
        <v>35</v>
      </c>
      <c r="T77" s="24" t="s">
        <v>36</v>
      </c>
      <c r="U77" s="24" t="s">
        <v>37</v>
      </c>
      <c r="V77" s="24" t="s">
        <v>38</v>
      </c>
      <c r="W77" s="24" t="s">
        <v>39</v>
      </c>
      <c r="X77" s="24" t="s">
        <v>40</v>
      </c>
      <c r="Y77" s="24" t="s">
        <v>41</v>
      </c>
      <c r="Z77" s="24" t="s">
        <v>42</v>
      </c>
      <c r="AA77" s="24" t="s">
        <v>43</v>
      </c>
      <c r="AB77" s="24" t="s">
        <v>44</v>
      </c>
      <c r="AC77" s="24" t="s">
        <v>45</v>
      </c>
      <c r="AD77" s="24" t="s">
        <v>46</v>
      </c>
      <c r="AE77" s="24" t="s">
        <v>47</v>
      </c>
      <c r="AF77" s="24" t="s">
        <v>48</v>
      </c>
      <c r="AG77" s="24" t="s">
        <v>49</v>
      </c>
      <c r="AH77" s="108" t="s">
        <v>57</v>
      </c>
      <c r="AI77" s="108" t="s">
        <v>58</v>
      </c>
      <c r="AJ77" s="108" t="s">
        <v>59</v>
      </c>
      <c r="AK77" s="108" t="s">
        <v>60</v>
      </c>
      <c r="AL77" s="108" t="s">
        <v>61</v>
      </c>
      <c r="AM77" s="108" t="s">
        <v>62</v>
      </c>
      <c r="AN77" s="108" t="s">
        <v>63</v>
      </c>
      <c r="AO77" s="108" t="s">
        <v>106</v>
      </c>
      <c r="AP77" s="108" t="s">
        <v>107</v>
      </c>
      <c r="AQ77" s="24" t="s">
        <v>66</v>
      </c>
      <c r="AR77" s="24" t="s">
        <v>67</v>
      </c>
      <c r="AS77" s="24" t="s">
        <v>68</v>
      </c>
      <c r="AT77" s="24" t="s">
        <v>69</v>
      </c>
      <c r="AU77" s="24" t="s">
        <v>70</v>
      </c>
      <c r="AV77" s="24" t="s">
        <v>108</v>
      </c>
      <c r="AW77" s="24" t="s">
        <v>72</v>
      </c>
      <c r="AX77" s="24" t="s">
        <v>73</v>
      </c>
      <c r="AY77" s="24" t="s">
        <v>74</v>
      </c>
      <c r="AZ77" s="24" t="s">
        <v>86</v>
      </c>
      <c r="BA77" s="24" t="s">
        <v>87</v>
      </c>
      <c r="BB77" s="24" t="s">
        <v>88</v>
      </c>
      <c r="BC77" s="24" t="s">
        <v>89</v>
      </c>
      <c r="BD77" s="119" t="s">
        <v>137</v>
      </c>
      <c r="BE77" s="119" t="s">
        <v>138</v>
      </c>
      <c r="BF77" s="119" t="s">
        <v>139</v>
      </c>
      <c r="BG77" s="119" t="s">
        <v>140</v>
      </c>
      <c r="BH77" s="119" t="s">
        <v>141</v>
      </c>
      <c r="BI77" s="119" t="s">
        <v>142</v>
      </c>
      <c r="BJ77" s="119" t="s">
        <v>143</v>
      </c>
      <c r="BK77" s="119" t="s">
        <v>144</v>
      </c>
    </row>
    <row r="78" spans="1:63" ht="15" thickBot="1" x14ac:dyDescent="0.4">
      <c r="A78" s="8" t="s">
        <v>104</v>
      </c>
      <c r="B78" s="28" t="e">
        <f>H78/$G$92</f>
        <v>#DIV/0!</v>
      </c>
      <c r="C78" s="50"/>
      <c r="D78" s="50"/>
      <c r="E78" s="50"/>
      <c r="F78" s="50"/>
      <c r="G78" s="50"/>
      <c r="H78" s="9">
        <f>SUM(C78:G78)</f>
        <v>0</v>
      </c>
      <c r="I78" s="29">
        <f>SUM(Table73545735[[#This Row],[VP - 1]:[VP - 54]])</f>
        <v>0</v>
      </c>
      <c r="J78" s="19" t="str">
        <f>IFERROR(VLOOKUP(Table73545735[[#This Row],[Specie]],'VP1'!$C:$I,7,FALSE),"")</f>
        <v/>
      </c>
      <c r="K78" s="19" t="str">
        <f>IFERROR(VLOOKUP(Table73545735[[#This Row],[Specie]],'VP2'!$C:$I,7,FALSE),"")</f>
        <v/>
      </c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6"/>
      <c r="AC78" s="19"/>
      <c r="AD78" s="19"/>
      <c r="AE78" s="19"/>
      <c r="AF78" s="19"/>
      <c r="AG78" s="19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118"/>
      <c r="BE78" s="118"/>
      <c r="BF78" s="118"/>
      <c r="BG78" s="118"/>
      <c r="BH78" s="118"/>
      <c r="BI78" s="118"/>
      <c r="BJ78" s="118"/>
      <c r="BK78" s="118"/>
    </row>
    <row r="79" spans="1:63" ht="15" thickBot="1" x14ac:dyDescent="0.4">
      <c r="A79" s="8" t="s">
        <v>102</v>
      </c>
      <c r="B79" s="28" t="e">
        <f>H79/$G$92</f>
        <v>#DIV/0!</v>
      </c>
      <c r="C79" s="50"/>
      <c r="D79" s="50"/>
      <c r="E79" s="50"/>
      <c r="F79" s="50"/>
      <c r="G79" s="50"/>
      <c r="H79" s="9">
        <f>SUM(C79:G79)</f>
        <v>0</v>
      </c>
      <c r="I79" s="29">
        <f>SUM(Table73545735[[#This Row],[VP - 1]:[VP - 54]])</f>
        <v>0</v>
      </c>
      <c r="J79" s="19" t="str">
        <f>IFERROR(VLOOKUP(Table73545735[[#This Row],[Specie]],'VP1'!$C:$I,7,FALSE),"")</f>
        <v/>
      </c>
      <c r="K79" s="19" t="str">
        <f>IFERROR(VLOOKUP(Table73545735[[#This Row],[Specie]],'VP2'!$C:$I,7,FALSE),"")</f>
        <v/>
      </c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6"/>
      <c r="AC79" s="19"/>
      <c r="AD79" s="19"/>
      <c r="AE79" s="19"/>
      <c r="AF79" s="19"/>
      <c r="AG79" s="19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</row>
    <row r="80" spans="1:63" ht="15" thickBot="1" x14ac:dyDescent="0.4">
      <c r="A80" s="8" t="s">
        <v>132</v>
      </c>
      <c r="B80" s="28" t="e">
        <f>H80/$G$92</f>
        <v>#DIV/0!</v>
      </c>
      <c r="C80" s="50"/>
      <c r="D80" s="50"/>
      <c r="E80" s="50"/>
      <c r="F80" s="50"/>
      <c r="G80" s="50"/>
      <c r="H80" s="9">
        <f>SUM(C80:G80)</f>
        <v>0</v>
      </c>
      <c r="I80" s="29">
        <f>SUM(Table73545735[[#This Row],[VP - 1]:[VP - 54]])</f>
        <v>0</v>
      </c>
      <c r="J80" s="19" t="str">
        <f>IFERROR(VLOOKUP(Table73545735[[#This Row],[Specie]],'VP1'!$C:$I,7,FALSE),"")</f>
        <v/>
      </c>
      <c r="K80" s="19" t="str">
        <f>IFERROR(VLOOKUP(Table73545735[[#This Row],[Specie]],'VP2'!$C:$I,7,FALSE),"")</f>
        <v/>
      </c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61"/>
      <c r="AC80" s="19"/>
      <c r="AD80" s="19"/>
      <c r="AE80" s="19"/>
      <c r="AF80" s="19"/>
      <c r="AG80" s="19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2"/>
      <c r="BE80" s="62"/>
      <c r="BF80" s="62"/>
      <c r="BG80" s="62"/>
      <c r="BH80" s="62"/>
      <c r="BI80" s="62"/>
      <c r="BJ80" s="62"/>
      <c r="BK80" s="62"/>
    </row>
    <row r="81" spans="1:63" ht="15" thickBot="1" x14ac:dyDescent="0.4">
      <c r="A81" s="8" t="s">
        <v>103</v>
      </c>
      <c r="B81" s="28" t="e">
        <f>H81/$G$92</f>
        <v>#DIV/0!</v>
      </c>
      <c r="C81" s="57"/>
      <c r="D81" s="57"/>
      <c r="E81" s="57"/>
      <c r="F81" s="57"/>
      <c r="G81" s="57"/>
      <c r="H81" s="9">
        <f>SUM(C81:G81)</f>
        <v>0</v>
      </c>
      <c r="I81" s="29">
        <f>SUM(Table73545735[[#This Row],[VP - 1]:[VP - 54]])</f>
        <v>0</v>
      </c>
      <c r="J81" s="19" t="str">
        <f>IFERROR(VLOOKUP(Table73545735[[#This Row],[Specie]],'VP1'!$C:$I,7,FALSE),"")</f>
        <v/>
      </c>
      <c r="K81" s="19" t="str">
        <f>IFERROR(VLOOKUP(Table73545735[[#This Row],[Specie]],'VP2'!$C:$I,7,FALSE),"")</f>
        <v/>
      </c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61"/>
      <c r="AC81" s="19"/>
      <c r="AD81" s="19"/>
      <c r="AE81" s="19"/>
      <c r="AF81" s="19"/>
      <c r="AG81" s="19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2"/>
      <c r="BE81" s="62"/>
      <c r="BF81" s="62"/>
      <c r="BG81" s="62"/>
      <c r="BH81" s="62"/>
      <c r="BI81" s="62"/>
      <c r="BJ81" s="62"/>
      <c r="BK81" s="62"/>
    </row>
    <row r="82" spans="1:63" ht="15" thickBot="1" x14ac:dyDescent="0.4">
      <c r="A82" s="8" t="s">
        <v>105</v>
      </c>
      <c r="B82" s="28" t="e">
        <f>H82/$G$92</f>
        <v>#DIV/0!</v>
      </c>
      <c r="C82" s="50"/>
      <c r="D82" s="50"/>
      <c r="E82" s="50"/>
      <c r="F82" s="50"/>
      <c r="G82" s="50"/>
      <c r="H82" s="9">
        <f>SUM(C82:G82)</f>
        <v>0</v>
      </c>
      <c r="I82" s="29">
        <f>SUM(Table73545735[[#This Row],[VP - 1]:[VP - 54]])</f>
        <v>0</v>
      </c>
      <c r="J82" s="19" t="str">
        <f>IFERROR(VLOOKUP(Table73545735[[#This Row],[Specie]],'VP1'!$C:$I,7,FALSE),"")</f>
        <v/>
      </c>
      <c r="K82" s="19" t="str">
        <f>IFERROR(VLOOKUP(Table73545735[[#This Row],[Specie]],'VP2'!$C:$I,7,FALSE),"")</f>
        <v/>
      </c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2"/>
      <c r="BE82" s="62"/>
      <c r="BF82" s="62"/>
      <c r="BG82" s="62"/>
      <c r="BH82" s="62"/>
      <c r="BI82" s="62"/>
      <c r="BJ82" s="62"/>
      <c r="BK82" s="62"/>
    </row>
    <row r="83" spans="1:63" ht="15" thickBot="1" x14ac:dyDescent="0.4">
      <c r="A83" s="58" t="s">
        <v>7</v>
      </c>
      <c r="B83" s="28"/>
      <c r="C83" s="59">
        <f t="shared" ref="C83:I83" si="8">SUM(C78:C82)</f>
        <v>0</v>
      </c>
      <c r="D83" s="59">
        <f t="shared" si="8"/>
        <v>0</v>
      </c>
      <c r="E83" s="59">
        <f t="shared" si="8"/>
        <v>0</v>
      </c>
      <c r="F83" s="59">
        <f t="shared" si="8"/>
        <v>0</v>
      </c>
      <c r="G83" s="59">
        <f t="shared" si="8"/>
        <v>0</v>
      </c>
      <c r="H83" s="59">
        <f t="shared" si="8"/>
        <v>0</v>
      </c>
      <c r="I83" s="29">
        <f t="shared" si="8"/>
        <v>0</v>
      </c>
      <c r="J83" s="19" t="str">
        <f>IFERROR(VLOOKUP(Table73545735[[#This Row],[Specie]],'VP1'!$C:$I,7,FALSE),"")</f>
        <v/>
      </c>
      <c r="K83" s="19" t="str">
        <f>IFERROR(VLOOKUP(Table73545735[[#This Row],[Specie]],'VP2'!$C:$I,7,FALSE),"")</f>
        <v/>
      </c>
      <c r="L83" s="120">
        <f t="shared" ref="L83:BK83" si="9">SUM(L78:L82)</f>
        <v>0</v>
      </c>
      <c r="M83" s="120">
        <f t="shared" si="9"/>
        <v>0</v>
      </c>
      <c r="N83" s="120">
        <f t="shared" si="9"/>
        <v>0</v>
      </c>
      <c r="O83" s="120">
        <f t="shared" si="9"/>
        <v>0</v>
      </c>
      <c r="P83" s="120">
        <f t="shared" si="9"/>
        <v>0</v>
      </c>
      <c r="Q83" s="120">
        <f t="shared" si="9"/>
        <v>0</v>
      </c>
      <c r="R83" s="120">
        <f t="shared" si="9"/>
        <v>0</v>
      </c>
      <c r="S83" s="120">
        <f t="shared" si="9"/>
        <v>0</v>
      </c>
      <c r="T83" s="120">
        <f t="shared" si="9"/>
        <v>0</v>
      </c>
      <c r="U83" s="120">
        <f t="shared" si="9"/>
        <v>0</v>
      </c>
      <c r="V83" s="120">
        <f t="shared" si="9"/>
        <v>0</v>
      </c>
      <c r="W83" s="120">
        <f t="shared" si="9"/>
        <v>0</v>
      </c>
      <c r="X83" s="120">
        <f t="shared" si="9"/>
        <v>0</v>
      </c>
      <c r="Y83" s="120">
        <f t="shared" si="9"/>
        <v>0</v>
      </c>
      <c r="Z83" s="120">
        <f t="shared" si="9"/>
        <v>0</v>
      </c>
      <c r="AA83" s="120">
        <f t="shared" si="9"/>
        <v>0</v>
      </c>
      <c r="AB83" s="120">
        <f t="shared" si="9"/>
        <v>0</v>
      </c>
      <c r="AC83" s="120">
        <f t="shared" si="9"/>
        <v>0</v>
      </c>
      <c r="AD83" s="120">
        <f t="shared" si="9"/>
        <v>0</v>
      </c>
      <c r="AE83" s="120">
        <f t="shared" si="9"/>
        <v>0</v>
      </c>
      <c r="AF83" s="120">
        <f t="shared" si="9"/>
        <v>0</v>
      </c>
      <c r="AG83" s="120">
        <f t="shared" si="9"/>
        <v>0</v>
      </c>
      <c r="AH83" s="120">
        <f t="shared" si="9"/>
        <v>0</v>
      </c>
      <c r="AI83" s="120">
        <f t="shared" si="9"/>
        <v>0</v>
      </c>
      <c r="AJ83" s="120">
        <f t="shared" si="9"/>
        <v>0</v>
      </c>
      <c r="AK83" s="120">
        <f t="shared" si="9"/>
        <v>0</v>
      </c>
      <c r="AL83" s="120">
        <f t="shared" si="9"/>
        <v>0</v>
      </c>
      <c r="AM83" s="120">
        <f t="shared" si="9"/>
        <v>0</v>
      </c>
      <c r="AN83" s="120">
        <f t="shared" si="9"/>
        <v>0</v>
      </c>
      <c r="AO83" s="120">
        <f t="shared" si="9"/>
        <v>0</v>
      </c>
      <c r="AP83" s="120">
        <f t="shared" si="9"/>
        <v>0</v>
      </c>
      <c r="AQ83" s="120">
        <f t="shared" si="9"/>
        <v>0</v>
      </c>
      <c r="AR83" s="120">
        <f t="shared" si="9"/>
        <v>0</v>
      </c>
      <c r="AS83" s="120">
        <f t="shared" si="9"/>
        <v>0</v>
      </c>
      <c r="AT83" s="120">
        <f t="shared" si="9"/>
        <v>0</v>
      </c>
      <c r="AU83" s="120">
        <f t="shared" si="9"/>
        <v>0</v>
      </c>
      <c r="AV83" s="120">
        <f t="shared" si="9"/>
        <v>0</v>
      </c>
      <c r="AW83" s="120">
        <f t="shared" si="9"/>
        <v>0</v>
      </c>
      <c r="AX83" s="120">
        <f t="shared" si="9"/>
        <v>0</v>
      </c>
      <c r="AY83" s="120">
        <f t="shared" si="9"/>
        <v>0</v>
      </c>
      <c r="AZ83" s="120">
        <f t="shared" si="9"/>
        <v>0</v>
      </c>
      <c r="BA83" s="120">
        <f t="shared" si="9"/>
        <v>0</v>
      </c>
      <c r="BB83" s="120">
        <f t="shared" si="9"/>
        <v>0</v>
      </c>
      <c r="BC83" s="120">
        <f t="shared" si="9"/>
        <v>0</v>
      </c>
      <c r="BD83" s="120">
        <f t="shared" si="9"/>
        <v>0</v>
      </c>
      <c r="BE83" s="120">
        <f t="shared" si="9"/>
        <v>0</v>
      </c>
      <c r="BF83" s="120">
        <f t="shared" si="9"/>
        <v>0</v>
      </c>
      <c r="BG83" s="120">
        <f t="shared" si="9"/>
        <v>0</v>
      </c>
      <c r="BH83" s="120">
        <f t="shared" si="9"/>
        <v>0</v>
      </c>
      <c r="BI83" s="120">
        <f t="shared" si="9"/>
        <v>0</v>
      </c>
      <c r="BJ83" s="120">
        <f t="shared" si="9"/>
        <v>0</v>
      </c>
      <c r="BK83" s="120">
        <f t="shared" si="9"/>
        <v>0</v>
      </c>
    </row>
    <row r="84" spans="1:63" ht="15" thickBot="1" x14ac:dyDescent="0.4">
      <c r="A84" s="58" t="s">
        <v>8</v>
      </c>
      <c r="B84" s="28"/>
      <c r="C84" s="28" t="e">
        <f>C83/H83</f>
        <v>#DIV/0!</v>
      </c>
      <c r="D84" s="28" t="e">
        <f>D83/H83</f>
        <v>#DIV/0!</v>
      </c>
      <c r="E84" s="28" t="e">
        <f>E83/H83</f>
        <v>#DIV/0!</v>
      </c>
      <c r="F84" s="28" t="e">
        <f>F83/H83</f>
        <v>#DIV/0!</v>
      </c>
      <c r="G84" s="28" t="e">
        <f>G83/H83</f>
        <v>#DIV/0!</v>
      </c>
      <c r="H84" s="28" t="e">
        <f>SUM(C84:G84)</f>
        <v>#DIV/0!</v>
      </c>
      <c r="I84" s="2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G84" s="60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</row>
    <row r="88" spans="1:63" ht="37.5" thickBot="1" x14ac:dyDescent="0.5">
      <c r="A88" s="64" t="s">
        <v>109</v>
      </c>
      <c r="B88" s="6"/>
      <c r="C88" s="6"/>
      <c r="D88" s="6"/>
      <c r="E88" s="6"/>
      <c r="F88" s="6"/>
      <c r="G88" s="6"/>
      <c r="H88" s="6"/>
      <c r="I88" s="6"/>
      <c r="J88" s="6"/>
    </row>
    <row r="89" spans="1:63" ht="15" thickBot="1" x14ac:dyDescent="0.4">
      <c r="A89" s="31"/>
      <c r="B89" s="198" t="s">
        <v>23</v>
      </c>
      <c r="C89" s="199"/>
      <c r="D89" s="199"/>
      <c r="E89" s="199"/>
      <c r="F89" s="200"/>
      <c r="G89" s="65"/>
      <c r="H89" s="6"/>
      <c r="I89" s="195" t="s">
        <v>7</v>
      </c>
      <c r="J89" s="196"/>
      <c r="K89" s="197"/>
      <c r="L89" s="66">
        <f>G91</f>
        <v>0</v>
      </c>
    </row>
    <row r="90" spans="1:63" ht="15" thickBot="1" x14ac:dyDescent="0.4">
      <c r="A90" s="6"/>
      <c r="B90" s="55" t="s">
        <v>9</v>
      </c>
      <c r="C90" s="56" t="s">
        <v>20</v>
      </c>
      <c r="D90" s="56" t="s">
        <v>21</v>
      </c>
      <c r="E90" s="56" t="s">
        <v>22</v>
      </c>
      <c r="F90" s="56" t="s">
        <v>101</v>
      </c>
      <c r="G90" s="67" t="s">
        <v>19</v>
      </c>
      <c r="H90" s="6"/>
      <c r="I90" s="195" t="s">
        <v>15</v>
      </c>
      <c r="J90" s="196"/>
      <c r="K90" s="197"/>
      <c r="L90" s="66">
        <f>(L89*50)/Totalplots</f>
        <v>0</v>
      </c>
    </row>
    <row r="91" spans="1:63" ht="15" thickBot="1" x14ac:dyDescent="0.4">
      <c r="A91" s="6"/>
      <c r="B91" s="59">
        <f>C62+C83</f>
        <v>0</v>
      </c>
      <c r="C91" s="59">
        <f>D62+D83</f>
        <v>0</v>
      </c>
      <c r="D91" s="59">
        <f>E62+E83</f>
        <v>0</v>
      </c>
      <c r="E91" s="59">
        <f>F62+F83</f>
        <v>0</v>
      </c>
      <c r="F91" s="59">
        <f>G62+G83</f>
        <v>0</v>
      </c>
      <c r="G91" s="9">
        <f>SUM(B91:F91)</f>
        <v>0</v>
      </c>
      <c r="H91" s="6"/>
      <c r="I91" s="195" t="s">
        <v>110</v>
      </c>
      <c r="J91" s="196"/>
      <c r="K91" s="197"/>
      <c r="L91" s="66">
        <f>L89-SUM(C83:G83)</f>
        <v>0</v>
      </c>
    </row>
    <row r="92" spans="1:63" ht="15" thickBot="1" x14ac:dyDescent="0.4">
      <c r="A92" s="6" t="s">
        <v>7</v>
      </c>
      <c r="B92" s="59">
        <f>SUM(B91:B91)</f>
        <v>0</v>
      </c>
      <c r="C92" s="59">
        <f t="shared" ref="C92:G92" si="10">SUM(C91:C91)</f>
        <v>0</v>
      </c>
      <c r="D92" s="59">
        <f t="shared" si="10"/>
        <v>0</v>
      </c>
      <c r="E92" s="59">
        <f t="shared" si="10"/>
        <v>0</v>
      </c>
      <c r="F92" s="59">
        <f t="shared" si="10"/>
        <v>0</v>
      </c>
      <c r="G92" s="59">
        <f t="shared" si="10"/>
        <v>0</v>
      </c>
      <c r="H92" s="6"/>
      <c r="I92" s="141" t="s">
        <v>111</v>
      </c>
      <c r="J92" s="142"/>
      <c r="K92" s="143"/>
      <c r="L92" s="66">
        <f>(L91*50)/Totalplots</f>
        <v>0</v>
      </c>
    </row>
    <row r="93" spans="1:63" ht="15" thickBot="1" x14ac:dyDescent="0.4">
      <c r="A93" s="6" t="s">
        <v>8</v>
      </c>
      <c r="B93" s="28" t="e">
        <f>B92/G92</f>
        <v>#DIV/0!</v>
      </c>
      <c r="C93" s="28" t="e">
        <f>C92/G92</f>
        <v>#DIV/0!</v>
      </c>
      <c r="D93" s="28" t="e">
        <f>D92/G92</f>
        <v>#DIV/0!</v>
      </c>
      <c r="E93" s="28" t="e">
        <f>E92/G92</f>
        <v>#DIV/0!</v>
      </c>
      <c r="F93" s="28" t="e">
        <f>F92/G92</f>
        <v>#DIV/0!</v>
      </c>
      <c r="G93" s="28" t="e">
        <f>SUM(B93:F93)</f>
        <v>#DIV/0!</v>
      </c>
      <c r="H93" s="6"/>
      <c r="I93" s="141" t="s">
        <v>16</v>
      </c>
      <c r="J93" s="142"/>
      <c r="K93" s="143"/>
      <c r="L93" s="66">
        <f>I71</f>
        <v>0</v>
      </c>
    </row>
    <row r="94" spans="1:63" ht="15" thickBot="1" x14ac:dyDescent="0.4">
      <c r="A94" s="6"/>
      <c r="B94" s="6"/>
      <c r="C94" s="6"/>
      <c r="D94" s="6"/>
      <c r="E94" s="6"/>
      <c r="F94" s="6"/>
      <c r="G94" s="6"/>
      <c r="H94" s="6"/>
      <c r="I94" s="141" t="s">
        <v>17</v>
      </c>
      <c r="J94" s="142"/>
      <c r="K94" s="143"/>
      <c r="L94" s="66">
        <f>(L93*50)/Totalplots</f>
        <v>0</v>
      </c>
    </row>
    <row r="95" spans="1:63" ht="15" thickBot="1" x14ac:dyDescent="0.4">
      <c r="A95" s="6"/>
      <c r="B95" s="6"/>
      <c r="C95" s="6"/>
      <c r="D95" s="6"/>
      <c r="E95" s="6"/>
      <c r="F95" s="6"/>
      <c r="G95" s="6"/>
      <c r="H95" s="6"/>
      <c r="I95" s="141" t="s">
        <v>112</v>
      </c>
      <c r="J95" s="142"/>
      <c r="K95" s="143"/>
      <c r="L95" s="66">
        <f>N69</f>
        <v>0</v>
      </c>
    </row>
    <row r="96" spans="1:63" ht="15" thickBot="1" x14ac:dyDescent="0.4">
      <c r="A96" s="6"/>
      <c r="B96" s="6"/>
      <c r="C96" s="6"/>
      <c r="D96" s="6"/>
      <c r="E96" s="6"/>
      <c r="F96" s="6"/>
      <c r="G96" s="6"/>
      <c r="H96" s="6"/>
      <c r="I96" s="141" t="s">
        <v>113</v>
      </c>
      <c r="J96" s="142"/>
      <c r="K96" s="143"/>
      <c r="L96" s="66">
        <f>(L95*50)/Totalplots</f>
        <v>0</v>
      </c>
    </row>
    <row r="97" spans="1:12" ht="15" thickBot="1" x14ac:dyDescent="0.4">
      <c r="A97" s="6"/>
      <c r="B97" s="6"/>
      <c r="C97" s="6"/>
      <c r="D97" s="6"/>
      <c r="E97" s="6"/>
      <c r="F97" s="6"/>
      <c r="G97" s="6"/>
      <c r="H97" s="6"/>
      <c r="I97" s="68"/>
      <c r="J97" s="69"/>
      <c r="K97"/>
      <c r="L97"/>
    </row>
    <row r="98" spans="1:12" ht="15" thickBot="1" x14ac:dyDescent="0.4">
      <c r="A98" s="6"/>
      <c r="B98" s="6"/>
      <c r="C98" s="6"/>
      <c r="D98" s="6"/>
      <c r="E98" s="6"/>
      <c r="F98" s="6"/>
      <c r="G98" s="6"/>
      <c r="H98" s="6"/>
      <c r="I98" s="193" t="s">
        <v>54</v>
      </c>
      <c r="J98" s="193"/>
      <c r="K98" s="193"/>
      <c r="L98" s="70">
        <f>L95</f>
        <v>0</v>
      </c>
    </row>
    <row r="99" spans="1:12" ht="15" thickBot="1" x14ac:dyDescent="0.4">
      <c r="A99" s="6"/>
      <c r="B99" s="6"/>
      <c r="C99" s="6"/>
      <c r="D99" s="6"/>
      <c r="E99" s="6"/>
      <c r="F99" s="6"/>
      <c r="G99" s="6"/>
      <c r="H99" s="6"/>
      <c r="I99" s="193" t="s">
        <v>55</v>
      </c>
      <c r="J99" s="193"/>
      <c r="K99" s="193"/>
      <c r="L99" s="71" t="e">
        <f>L98/L89</f>
        <v>#DIV/0!</v>
      </c>
    </row>
  </sheetData>
  <mergeCells count="18">
    <mergeCell ref="C3:G3"/>
    <mergeCell ref="F64:I64"/>
    <mergeCell ref="F65:I65"/>
    <mergeCell ref="F66:I66"/>
    <mergeCell ref="F67:I67"/>
    <mergeCell ref="I99:K99"/>
    <mergeCell ref="K69:M69"/>
    <mergeCell ref="F70:H70"/>
    <mergeCell ref="K70:M70"/>
    <mergeCell ref="F71:H71"/>
    <mergeCell ref="F72:H72"/>
    <mergeCell ref="C76:G76"/>
    <mergeCell ref="F69:H69"/>
    <mergeCell ref="B89:F89"/>
    <mergeCell ref="I89:K89"/>
    <mergeCell ref="I90:K90"/>
    <mergeCell ref="I91:K91"/>
    <mergeCell ref="I98:K98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7"/>
  <sheetViews>
    <sheetView topLeftCell="A4" zoomScale="75" zoomScaleNormal="75" workbookViewId="0">
      <selection activeCell="C39" sqref="C39"/>
    </sheetView>
  </sheetViews>
  <sheetFormatPr defaultRowHeight="14.5" x14ac:dyDescent="0.35"/>
  <cols>
    <col min="2" max="2" width="30.6328125" customWidth="1"/>
    <col min="3" max="3" width="30.81640625" customWidth="1"/>
    <col min="4" max="4" width="14.54296875" customWidth="1"/>
    <col min="5" max="5" width="14.6328125" customWidth="1"/>
    <col min="6" max="6" width="14.453125" customWidth="1"/>
    <col min="7" max="7" width="14.7265625" customWidth="1"/>
    <col min="8" max="8" width="14.54296875" customWidth="1"/>
    <col min="9" max="9" width="14.6328125" customWidth="1"/>
    <col min="10" max="10" width="8.7265625" style="6"/>
    <col min="11" max="11" width="8.7265625" style="182" customWidth="1"/>
  </cols>
  <sheetData>
    <row r="1" spans="1:9" x14ac:dyDescent="0.35">
      <c r="A1" s="144" t="s">
        <v>154</v>
      </c>
      <c r="B1" s="145"/>
      <c r="C1" s="145"/>
      <c r="D1" s="145"/>
      <c r="E1" s="145"/>
      <c r="F1" s="145"/>
      <c r="G1" s="145"/>
      <c r="H1" s="145"/>
      <c r="I1" s="146" t="s">
        <v>155</v>
      </c>
    </row>
    <row r="2" spans="1:9" x14ac:dyDescent="0.35">
      <c r="A2" s="145"/>
      <c r="B2" s="145"/>
      <c r="C2" s="145"/>
      <c r="D2" s="145"/>
      <c r="E2" s="145"/>
      <c r="F2" s="145"/>
      <c r="G2" s="145"/>
      <c r="H2" s="145"/>
      <c r="I2" s="146" t="s">
        <v>156</v>
      </c>
    </row>
    <row r="3" spans="1:9" ht="18.5" x14ac:dyDescent="0.45">
      <c r="A3" s="223" t="s">
        <v>157</v>
      </c>
      <c r="B3" s="223"/>
      <c r="C3" s="223"/>
      <c r="D3" s="223"/>
      <c r="E3" s="223"/>
      <c r="F3" s="223"/>
      <c r="G3" s="223"/>
      <c r="H3" s="223"/>
      <c r="I3" s="223"/>
    </row>
    <row r="4" spans="1:9" x14ac:dyDescent="0.35">
      <c r="A4" s="6"/>
      <c r="B4" s="6"/>
      <c r="C4" s="147"/>
      <c r="D4" s="147"/>
      <c r="E4" s="147"/>
      <c r="F4" s="147"/>
      <c r="G4" s="6"/>
      <c r="H4" s="6"/>
      <c r="I4" s="148"/>
    </row>
    <row r="5" spans="1:9" x14ac:dyDescent="0.35">
      <c r="A5" s="6"/>
      <c r="B5" s="31" t="s">
        <v>158</v>
      </c>
      <c r="C5" s="149"/>
      <c r="D5" s="7"/>
      <c r="E5" s="31" t="s">
        <v>159</v>
      </c>
      <c r="F5" s="6"/>
      <c r="G5" s="224"/>
      <c r="H5" s="224"/>
      <c r="I5" s="6"/>
    </row>
    <row r="6" spans="1:9" x14ac:dyDescent="0.35">
      <c r="A6" s="6"/>
      <c r="B6" s="31" t="s">
        <v>160</v>
      </c>
      <c r="C6" s="149"/>
      <c r="D6" s="7"/>
      <c r="E6" s="31" t="s">
        <v>161</v>
      </c>
      <c r="F6" s="6"/>
      <c r="G6" s="225"/>
      <c r="H6" s="225"/>
      <c r="I6" s="6"/>
    </row>
    <row r="7" spans="1:9" x14ac:dyDescent="0.35">
      <c r="A7" s="6"/>
      <c r="B7" s="31" t="s">
        <v>162</v>
      </c>
      <c r="C7" s="149"/>
      <c r="D7" s="7"/>
      <c r="E7" s="31" t="s">
        <v>163</v>
      </c>
      <c r="F7" s="6"/>
      <c r="G7" s="225"/>
      <c r="H7" s="225"/>
      <c r="I7" s="6"/>
    </row>
    <row r="8" spans="1:9" x14ac:dyDescent="0.35">
      <c r="A8" s="6"/>
      <c r="B8" s="31" t="s">
        <v>164</v>
      </c>
      <c r="C8" s="149"/>
      <c r="D8" s="7"/>
      <c r="E8" s="31" t="s">
        <v>165</v>
      </c>
      <c r="F8" s="6"/>
      <c r="G8" s="225"/>
      <c r="H8" s="225"/>
      <c r="I8" s="6"/>
    </row>
    <row r="9" spans="1:9" ht="15" thickBot="1" x14ac:dyDescent="0.4">
      <c r="A9" s="6"/>
      <c r="B9" s="6"/>
      <c r="C9" s="6"/>
      <c r="D9" s="150"/>
      <c r="E9" s="150"/>
      <c r="F9" s="150"/>
      <c r="G9" s="150"/>
      <c r="H9" s="150"/>
      <c r="I9" s="6"/>
    </row>
    <row r="10" spans="1:9" x14ac:dyDescent="0.35">
      <c r="B10" s="201" t="s">
        <v>146</v>
      </c>
      <c r="C10" s="202"/>
      <c r="D10" s="203" t="s">
        <v>147</v>
      </c>
      <c r="E10" s="204"/>
      <c r="F10" s="204"/>
      <c r="G10" s="204"/>
      <c r="H10" s="205"/>
      <c r="I10" s="202" t="s">
        <v>166</v>
      </c>
    </row>
    <row r="11" spans="1:9" ht="15" thickBot="1" x14ac:dyDescent="0.4">
      <c r="B11" s="151" t="s">
        <v>167</v>
      </c>
      <c r="C11" s="152" t="s">
        <v>168</v>
      </c>
      <c r="D11" s="153" t="s">
        <v>169</v>
      </c>
      <c r="E11" s="154" t="s">
        <v>148</v>
      </c>
      <c r="F11" s="154" t="s">
        <v>149</v>
      </c>
      <c r="G11" s="154" t="s">
        <v>150</v>
      </c>
      <c r="H11" s="155" t="s">
        <v>114</v>
      </c>
      <c r="I11" s="206"/>
    </row>
    <row r="12" spans="1:9" x14ac:dyDescent="0.35">
      <c r="B12" s="156"/>
      <c r="C12" s="157" t="str">
        <f>IF(B12&lt;&gt;"",VLOOKUP('VP1'!B12,'[1]TN Plants'!$A:$B,2,FALSE),"")</f>
        <v/>
      </c>
      <c r="D12" s="158"/>
      <c r="E12" s="159"/>
      <c r="F12" s="159"/>
      <c r="G12" s="159"/>
      <c r="H12" s="160"/>
      <c r="I12" s="161" t="str">
        <f t="shared" ref="I12:I27" si="0">IF(SUM(D12:H12)&lt;&gt;0,SUM(D12:H12),"")</f>
        <v/>
      </c>
    </row>
    <row r="13" spans="1:9" x14ac:dyDescent="0.35">
      <c r="B13" s="162"/>
      <c r="C13" s="157" t="str">
        <f>IF(B13&lt;&gt;"",VLOOKUP('VP1'!B13,'[1]TN Plants'!$A:$B,2,FALSE),"")</f>
        <v/>
      </c>
      <c r="D13" s="163"/>
      <c r="E13" s="164"/>
      <c r="F13" s="164"/>
      <c r="G13" s="164"/>
      <c r="H13" s="165"/>
      <c r="I13" s="166" t="str">
        <f t="shared" si="0"/>
        <v/>
      </c>
    </row>
    <row r="14" spans="1:9" x14ac:dyDescent="0.35">
      <c r="B14" s="162"/>
      <c r="C14" s="157" t="str">
        <f>IF(B14&lt;&gt;"",VLOOKUP('VP1'!B14,'[1]TN Plants'!$A:$B,2,FALSE),"")</f>
        <v/>
      </c>
      <c r="D14" s="163"/>
      <c r="E14" s="164"/>
      <c r="F14" s="164"/>
      <c r="G14" s="164"/>
      <c r="H14" s="165"/>
      <c r="I14" s="166" t="str">
        <f t="shared" si="0"/>
        <v/>
      </c>
    </row>
    <row r="15" spans="1:9" x14ac:dyDescent="0.35">
      <c r="B15" s="162"/>
      <c r="C15" s="157" t="str">
        <f>IF(B15&lt;&gt;"",VLOOKUP('VP1'!B15,'[1]TN Plants'!$A:$B,2,FALSE),"")</f>
        <v/>
      </c>
      <c r="D15" s="163"/>
      <c r="E15" s="164"/>
      <c r="F15" s="164"/>
      <c r="G15" s="164"/>
      <c r="H15" s="165"/>
      <c r="I15" s="166" t="str">
        <f t="shared" si="0"/>
        <v/>
      </c>
    </row>
    <row r="16" spans="1:9" x14ac:dyDescent="0.35">
      <c r="B16" s="162"/>
      <c r="C16" s="157" t="str">
        <f>IF(B16&lt;&gt;"",VLOOKUP('VP1'!B16,'[1]TN Plants'!$A:$B,2,FALSE),"")</f>
        <v/>
      </c>
      <c r="D16" s="163"/>
      <c r="E16" s="164"/>
      <c r="F16" s="164"/>
      <c r="G16" s="164"/>
      <c r="H16" s="165"/>
      <c r="I16" s="166" t="str">
        <f t="shared" si="0"/>
        <v/>
      </c>
    </row>
    <row r="17" spans="2:9" x14ac:dyDescent="0.35">
      <c r="B17" s="162"/>
      <c r="C17" s="157" t="str">
        <f>IF(B17&lt;&gt;"",VLOOKUP('VP1'!B17,'[1]TN Plants'!$A:$B,2,FALSE),"")</f>
        <v/>
      </c>
      <c r="D17" s="163"/>
      <c r="E17" s="164"/>
      <c r="F17" s="164"/>
      <c r="G17" s="164"/>
      <c r="H17" s="165"/>
      <c r="I17" s="166" t="str">
        <f t="shared" si="0"/>
        <v/>
      </c>
    </row>
    <row r="18" spans="2:9" x14ac:dyDescent="0.35">
      <c r="B18" s="162"/>
      <c r="C18" s="157" t="str">
        <f>IF(B18&lt;&gt;"",VLOOKUP('VP1'!B18,'[1]TN Plants'!$A:$B,2,FALSE),"")</f>
        <v/>
      </c>
      <c r="D18" s="163"/>
      <c r="E18" s="164"/>
      <c r="F18" s="164"/>
      <c r="G18" s="164"/>
      <c r="H18" s="165"/>
      <c r="I18" s="166" t="str">
        <f t="shared" si="0"/>
        <v/>
      </c>
    </row>
    <row r="19" spans="2:9" x14ac:dyDescent="0.35">
      <c r="B19" s="162"/>
      <c r="C19" s="157" t="str">
        <f>IF(B19&lt;&gt;"",VLOOKUP('VP1'!B19,'[1]TN Plants'!$A:$B,2,FALSE),"")</f>
        <v/>
      </c>
      <c r="D19" s="163"/>
      <c r="E19" s="164"/>
      <c r="F19" s="164"/>
      <c r="G19" s="164"/>
      <c r="H19" s="165"/>
      <c r="I19" s="166" t="str">
        <f t="shared" si="0"/>
        <v/>
      </c>
    </row>
    <row r="20" spans="2:9" x14ac:dyDescent="0.35">
      <c r="B20" s="162"/>
      <c r="C20" s="157" t="str">
        <f>IF(B20&lt;&gt;"",VLOOKUP('VP1'!B20,'[1]TN Plants'!$A:$B,2,FALSE),"")</f>
        <v/>
      </c>
      <c r="D20" s="163"/>
      <c r="E20" s="164"/>
      <c r="F20" s="164"/>
      <c r="G20" s="164"/>
      <c r="H20" s="165"/>
      <c r="I20" s="166" t="str">
        <f t="shared" si="0"/>
        <v/>
      </c>
    </row>
    <row r="21" spans="2:9" x14ac:dyDescent="0.35">
      <c r="B21" s="162"/>
      <c r="C21" s="157" t="str">
        <f>IF(B21&lt;&gt;"",VLOOKUP('VP1'!B21,'[1]TN Plants'!$A:$B,2,FALSE),"")</f>
        <v/>
      </c>
      <c r="D21" s="163"/>
      <c r="E21" s="164"/>
      <c r="F21" s="164"/>
      <c r="G21" s="164"/>
      <c r="H21" s="165"/>
      <c r="I21" s="166" t="str">
        <f t="shared" si="0"/>
        <v/>
      </c>
    </row>
    <row r="22" spans="2:9" x14ac:dyDescent="0.35">
      <c r="B22" s="162"/>
      <c r="C22" s="157" t="str">
        <f>IF(B22&lt;&gt;"",VLOOKUP('VP1'!B22,'[1]TN Plants'!$A:$B,2,FALSE),"")</f>
        <v/>
      </c>
      <c r="D22" s="163"/>
      <c r="E22" s="164"/>
      <c r="F22" s="164"/>
      <c r="G22" s="164"/>
      <c r="H22" s="165"/>
      <c r="I22" s="166" t="str">
        <f t="shared" si="0"/>
        <v/>
      </c>
    </row>
    <row r="23" spans="2:9" x14ac:dyDescent="0.35">
      <c r="B23" s="162"/>
      <c r="C23" s="157" t="str">
        <f>IF(B23&lt;&gt;"",VLOOKUP('VP1'!B23,'[1]TN Plants'!$A:$B,2,FALSE),"")</f>
        <v/>
      </c>
      <c r="D23" s="163"/>
      <c r="E23" s="164"/>
      <c r="F23" s="164"/>
      <c r="G23" s="164"/>
      <c r="H23" s="165"/>
      <c r="I23" s="166" t="str">
        <f t="shared" si="0"/>
        <v/>
      </c>
    </row>
    <row r="24" spans="2:9" x14ac:dyDescent="0.35">
      <c r="B24" s="162"/>
      <c r="C24" s="157" t="str">
        <f>IF(B24&lt;&gt;"",VLOOKUP('VP1'!B24,'[1]TN Plants'!$A:$B,2,FALSE),"")</f>
        <v/>
      </c>
      <c r="D24" s="163"/>
      <c r="E24" s="164"/>
      <c r="F24" s="164"/>
      <c r="G24" s="164"/>
      <c r="H24" s="165"/>
      <c r="I24" s="166" t="str">
        <f t="shared" si="0"/>
        <v/>
      </c>
    </row>
    <row r="25" spans="2:9" x14ac:dyDescent="0.35">
      <c r="B25" s="162"/>
      <c r="C25" s="157" t="str">
        <f>IF(B25&lt;&gt;"",VLOOKUP('VP1'!B25,'[1]TN Plants'!$A:$B,2,FALSE),"")</f>
        <v/>
      </c>
      <c r="D25" s="163"/>
      <c r="E25" s="164"/>
      <c r="F25" s="164"/>
      <c r="G25" s="164"/>
      <c r="H25" s="165"/>
      <c r="I25" s="166" t="str">
        <f t="shared" si="0"/>
        <v/>
      </c>
    </row>
    <row r="26" spans="2:9" x14ac:dyDescent="0.35">
      <c r="B26" s="162"/>
      <c r="C26" s="157" t="str">
        <f>IF(B26&lt;&gt;"",VLOOKUP('VP1'!B26,'[1]TN Plants'!$A:$B,2,FALSE),"")</f>
        <v/>
      </c>
      <c r="D26" s="163"/>
      <c r="E26" s="164"/>
      <c r="F26" s="164"/>
      <c r="G26" s="164"/>
      <c r="H26" s="165"/>
      <c r="I26" s="166" t="str">
        <f t="shared" si="0"/>
        <v/>
      </c>
    </row>
    <row r="27" spans="2:9" x14ac:dyDescent="0.35">
      <c r="B27" s="162"/>
      <c r="C27" s="157" t="str">
        <f>IF(B27&lt;&gt;"",VLOOKUP('VP1'!B27,'[1]TN Plants'!$A:$B,2,FALSE),"")</f>
        <v/>
      </c>
      <c r="D27" s="163"/>
      <c r="E27" s="164"/>
      <c r="F27" s="164"/>
      <c r="G27" s="164"/>
      <c r="H27" s="165"/>
      <c r="I27" s="166" t="str">
        <f t="shared" si="0"/>
        <v/>
      </c>
    </row>
    <row r="28" spans="2:9" ht="15" thickBot="1" x14ac:dyDescent="0.4">
      <c r="B28" s="167"/>
      <c r="C28" s="157" t="str">
        <f>IF(B28&lt;&gt;"",VLOOKUP('VP1'!B28,'[1]TN Plants'!$A:$B,2,FALSE),"")</f>
        <v/>
      </c>
      <c r="D28" s="168"/>
      <c r="E28" s="169"/>
      <c r="F28" s="169"/>
      <c r="G28" s="169"/>
      <c r="H28" s="170"/>
      <c r="I28" s="171" t="str">
        <f>IF(SUM(D28:H28)&lt;&gt;0,SUM(D28:H28),"")</f>
        <v/>
      </c>
    </row>
    <row r="29" spans="2:9" ht="15" thickBot="1" x14ac:dyDescent="0.4">
      <c r="B29" s="207" t="s">
        <v>19</v>
      </c>
      <c r="C29" s="208"/>
      <c r="D29" s="172" t="str">
        <f>IF(SUM(D12:D28)&lt;&gt;0,SUM(D12:D28),"")</f>
        <v/>
      </c>
      <c r="E29" s="173" t="str">
        <f t="shared" ref="E29:I29" si="1">IF(SUM(E12:E28)&lt;&gt;0,SUM(E12:E28),"")</f>
        <v/>
      </c>
      <c r="F29" s="173" t="str">
        <f t="shared" si="1"/>
        <v/>
      </c>
      <c r="G29" s="173" t="str">
        <f t="shared" si="1"/>
        <v/>
      </c>
      <c r="H29" s="174" t="str">
        <f t="shared" si="1"/>
        <v/>
      </c>
      <c r="I29" s="175" t="str">
        <f t="shared" si="1"/>
        <v/>
      </c>
    </row>
    <row r="30" spans="2:9" ht="15" thickBot="1" x14ac:dyDescent="0.4"/>
    <row r="31" spans="2:9" ht="15" thickBot="1" x14ac:dyDescent="0.4">
      <c r="B31" s="203" t="s">
        <v>170</v>
      </c>
      <c r="C31" s="205"/>
      <c r="D31" s="217" t="s">
        <v>171</v>
      </c>
      <c r="F31" s="207" t="s">
        <v>172</v>
      </c>
      <c r="G31" s="208"/>
      <c r="H31" s="208"/>
      <c r="I31" s="219"/>
    </row>
    <row r="32" spans="2:9" ht="15" thickBot="1" x14ac:dyDescent="0.4">
      <c r="B32" s="151" t="s">
        <v>167</v>
      </c>
      <c r="C32" s="176" t="s">
        <v>168</v>
      </c>
      <c r="D32" s="218"/>
      <c r="F32" s="220"/>
      <c r="G32" s="221"/>
      <c r="H32" s="221"/>
      <c r="I32" s="222"/>
    </row>
    <row r="33" spans="2:9" x14ac:dyDescent="0.35">
      <c r="B33" s="156"/>
      <c r="C33" s="177" t="str">
        <f>IF(B33&lt;&gt;"",VLOOKUP('VP1'!B33,'[1]TN Plants'!$A:$B,2,FALSE),"")</f>
        <v/>
      </c>
      <c r="D33" s="161"/>
      <c r="F33" s="209"/>
      <c r="G33" s="210"/>
      <c r="H33" s="210"/>
      <c r="I33" s="211"/>
    </row>
    <row r="34" spans="2:9" x14ac:dyDescent="0.35">
      <c r="B34" s="162"/>
      <c r="C34" s="178" t="str">
        <f>IF(B34&lt;&gt;"",VLOOKUP('VP1'!B34,'[1]TN Plants'!$A:$B,2,FALSE),"")</f>
        <v/>
      </c>
      <c r="D34" s="166"/>
      <c r="F34" s="209"/>
      <c r="G34" s="210"/>
      <c r="H34" s="210"/>
      <c r="I34" s="211"/>
    </row>
    <row r="35" spans="2:9" x14ac:dyDescent="0.35">
      <c r="B35" s="162"/>
      <c r="C35" s="178" t="str">
        <f>IF(B35&lt;&gt;"",VLOOKUP('VP1'!B35,'[1]TN Plants'!$A:$B,2,FALSE),"")</f>
        <v/>
      </c>
      <c r="D35" s="166"/>
      <c r="F35" s="209"/>
      <c r="G35" s="210"/>
      <c r="H35" s="210"/>
      <c r="I35" s="211"/>
    </row>
    <row r="36" spans="2:9" x14ac:dyDescent="0.35">
      <c r="B36" s="162"/>
      <c r="C36" s="178" t="str">
        <f>IF(B36&lt;&gt;"",VLOOKUP('VP1'!B36,'[1]TN Plants'!$A:$B,2,FALSE),"")</f>
        <v/>
      </c>
      <c r="D36" s="166"/>
      <c r="F36" s="209"/>
      <c r="G36" s="210"/>
      <c r="H36" s="210"/>
      <c r="I36" s="211"/>
    </row>
    <row r="37" spans="2:9" ht="15" thickBot="1" x14ac:dyDescent="0.4">
      <c r="B37" s="167"/>
      <c r="C37" s="179" t="str">
        <f>IF(B37&lt;&gt;"",VLOOKUP('VP1'!B37,'[1]TN Plants'!$A:$B,2,FALSE),"")</f>
        <v/>
      </c>
      <c r="D37" s="180"/>
      <c r="F37" s="209"/>
      <c r="G37" s="210"/>
      <c r="H37" s="210"/>
      <c r="I37" s="211"/>
    </row>
    <row r="38" spans="2:9" ht="15" thickBot="1" x14ac:dyDescent="0.4">
      <c r="B38" s="212" t="s">
        <v>19</v>
      </c>
      <c r="C38" s="213"/>
      <c r="D38" s="181">
        <f>SUM(D33:D37)</f>
        <v>0</v>
      </c>
      <c r="F38" s="214"/>
      <c r="G38" s="215"/>
      <c r="H38" s="215"/>
      <c r="I38" s="216"/>
    </row>
    <row r="39" spans="2:9" ht="15" thickBot="1" x14ac:dyDescent="0.4"/>
    <row r="40" spans="2:9" x14ac:dyDescent="0.35">
      <c r="B40" s="201" t="s">
        <v>174</v>
      </c>
      <c r="C40" s="202"/>
      <c r="D40" s="203" t="s">
        <v>147</v>
      </c>
      <c r="E40" s="204"/>
      <c r="F40" s="204"/>
      <c r="G40" s="204"/>
      <c r="H40" s="205"/>
      <c r="I40" s="202" t="s">
        <v>166</v>
      </c>
    </row>
    <row r="41" spans="2:9" ht="15" thickBot="1" x14ac:dyDescent="0.4">
      <c r="B41" s="151" t="s">
        <v>167</v>
      </c>
      <c r="C41" s="152" t="s">
        <v>168</v>
      </c>
      <c r="D41" s="153" t="s">
        <v>169</v>
      </c>
      <c r="E41" s="154" t="s">
        <v>148</v>
      </c>
      <c r="F41" s="154" t="s">
        <v>149</v>
      </c>
      <c r="G41" s="154" t="s">
        <v>150</v>
      </c>
      <c r="H41" s="155" t="s">
        <v>114</v>
      </c>
      <c r="I41" s="206"/>
    </row>
    <row r="42" spans="2:9" x14ac:dyDescent="0.35">
      <c r="B42" s="156"/>
      <c r="C42" s="157" t="str">
        <f>IF(B42&lt;&gt;"",VLOOKUP('VP1'!B42,'[1]TN Plants'!$A:$B,2,FALSE),"")</f>
        <v/>
      </c>
      <c r="D42" s="158"/>
      <c r="E42" s="159"/>
      <c r="F42" s="159"/>
      <c r="G42" s="159"/>
      <c r="H42" s="160"/>
      <c r="I42" s="161" t="str">
        <f t="shared" ref="I42:I46" si="2">IF(SUM(D42:H42)&lt;&gt;0,SUM(D42:H42),"")</f>
        <v/>
      </c>
    </row>
    <row r="43" spans="2:9" x14ac:dyDescent="0.35">
      <c r="B43" s="162"/>
      <c r="C43" s="157" t="str">
        <f>IF(B43&lt;&gt;"",VLOOKUP('VP1'!B43,'[1]TN Plants'!$A:$B,2,FALSE),"")</f>
        <v/>
      </c>
      <c r="D43" s="163"/>
      <c r="E43" s="164"/>
      <c r="F43" s="164"/>
      <c r="G43" s="164"/>
      <c r="H43" s="165"/>
      <c r="I43" s="166" t="str">
        <f t="shared" si="2"/>
        <v/>
      </c>
    </row>
    <row r="44" spans="2:9" x14ac:dyDescent="0.35">
      <c r="B44" s="162"/>
      <c r="C44" s="157" t="str">
        <f>IF(B44&lt;&gt;"",VLOOKUP('VP1'!B44,'[1]TN Plants'!$A:$B,2,FALSE),"")</f>
        <v/>
      </c>
      <c r="D44" s="163"/>
      <c r="E44" s="164"/>
      <c r="F44" s="164"/>
      <c r="G44" s="164"/>
      <c r="H44" s="165"/>
      <c r="I44" s="166" t="str">
        <f t="shared" si="2"/>
        <v/>
      </c>
    </row>
    <row r="45" spans="2:9" x14ac:dyDescent="0.35">
      <c r="B45" s="162"/>
      <c r="C45" s="157" t="str">
        <f>IF(B45&lt;&gt;"",VLOOKUP('VP1'!B45,'[1]TN Plants'!$A:$B,2,FALSE),"")</f>
        <v/>
      </c>
      <c r="D45" s="163"/>
      <c r="E45" s="164"/>
      <c r="F45" s="164"/>
      <c r="G45" s="164"/>
      <c r="H45" s="165"/>
      <c r="I45" s="166" t="str">
        <f t="shared" si="2"/>
        <v/>
      </c>
    </row>
    <row r="46" spans="2:9" ht="15" thickBot="1" x14ac:dyDescent="0.4">
      <c r="B46" s="162"/>
      <c r="C46" s="157" t="str">
        <f>IF(B46&lt;&gt;"",VLOOKUP('VP1'!B46,'[1]TN Plants'!$A:$B,2,FALSE),"")</f>
        <v/>
      </c>
      <c r="D46" s="163"/>
      <c r="E46" s="164"/>
      <c r="F46" s="164"/>
      <c r="G46" s="164"/>
      <c r="H46" s="165"/>
      <c r="I46" s="166" t="str">
        <f t="shared" si="2"/>
        <v/>
      </c>
    </row>
    <row r="47" spans="2:9" ht="15" thickBot="1" x14ac:dyDescent="0.4">
      <c r="B47" s="207" t="s">
        <v>19</v>
      </c>
      <c r="C47" s="208"/>
      <c r="D47" s="172" t="str">
        <f>IF(SUM(D42:D46)&lt;&gt;0,SUM(D42:D46),"")</f>
        <v/>
      </c>
      <c r="E47" s="173" t="str">
        <f t="shared" ref="E47:I47" si="3">IF(SUM(E42:E46)&lt;&gt;0,SUM(E42:E46),"")</f>
        <v/>
      </c>
      <c r="F47" s="173" t="str">
        <f t="shared" si="3"/>
        <v/>
      </c>
      <c r="G47" s="173" t="str">
        <f t="shared" si="3"/>
        <v/>
      </c>
      <c r="H47" s="174" t="str">
        <f t="shared" si="3"/>
        <v/>
      </c>
      <c r="I47" s="175" t="str">
        <f t="shared" si="3"/>
        <v/>
      </c>
    </row>
  </sheetData>
  <mergeCells count="24">
    <mergeCell ref="F33:I33"/>
    <mergeCell ref="A3:I3"/>
    <mergeCell ref="G5:H5"/>
    <mergeCell ref="G6:H6"/>
    <mergeCell ref="G7:H7"/>
    <mergeCell ref="G8:H8"/>
    <mergeCell ref="B10:C10"/>
    <mergeCell ref="D10:H10"/>
    <mergeCell ref="I10:I11"/>
    <mergeCell ref="B29:C29"/>
    <mergeCell ref="B31:C31"/>
    <mergeCell ref="D31:D32"/>
    <mergeCell ref="F31:I31"/>
    <mergeCell ref="F32:I32"/>
    <mergeCell ref="B40:C40"/>
    <mergeCell ref="D40:H40"/>
    <mergeCell ref="I40:I41"/>
    <mergeCell ref="B47:C47"/>
    <mergeCell ref="F34:I34"/>
    <mergeCell ref="F35:I35"/>
    <mergeCell ref="F36:I36"/>
    <mergeCell ref="F37:I37"/>
    <mergeCell ref="B38:C38"/>
    <mergeCell ref="F38:I38"/>
  </mergeCells>
  <conditionalFormatting sqref="C12:C28">
    <cfRule type="expression" dxfId="5" priority="3">
      <formula>ISERROR(C12)</formula>
    </cfRule>
  </conditionalFormatting>
  <conditionalFormatting sqref="C33:C37">
    <cfRule type="expression" dxfId="4" priority="2">
      <formula>ISERROR(C33)</formula>
    </cfRule>
  </conditionalFormatting>
  <conditionalFormatting sqref="C42:C46">
    <cfRule type="expression" dxfId="3" priority="1">
      <formula>ISERROR(C42)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47"/>
  <sheetViews>
    <sheetView zoomScale="75" zoomScaleNormal="75" workbookViewId="0">
      <selection activeCell="E34" sqref="E34"/>
    </sheetView>
  </sheetViews>
  <sheetFormatPr defaultRowHeight="14.5" x14ac:dyDescent="0.35"/>
  <cols>
    <col min="2" max="2" width="30.6328125" customWidth="1"/>
    <col min="3" max="3" width="30.81640625" customWidth="1"/>
    <col min="4" max="4" width="14.54296875" customWidth="1"/>
    <col min="5" max="5" width="14.6328125" customWidth="1"/>
    <col min="6" max="6" width="14.453125" customWidth="1"/>
    <col min="7" max="7" width="14.7265625" customWidth="1"/>
    <col min="8" max="8" width="14.54296875" customWidth="1"/>
    <col min="9" max="9" width="14.6328125" customWidth="1"/>
    <col min="10" max="10" width="8.7265625" style="6"/>
    <col min="11" max="11" width="8.7265625" style="182" customWidth="1"/>
  </cols>
  <sheetData>
    <row r="1" spans="1:9" x14ac:dyDescent="0.35">
      <c r="A1" s="144" t="s">
        <v>154</v>
      </c>
      <c r="B1" s="145"/>
      <c r="C1" s="145"/>
      <c r="D1" s="145"/>
      <c r="E1" s="145"/>
      <c r="F1" s="145"/>
      <c r="G1" s="145"/>
      <c r="H1" s="145"/>
      <c r="I1" s="146" t="s">
        <v>155</v>
      </c>
    </row>
    <row r="2" spans="1:9" x14ac:dyDescent="0.35">
      <c r="A2" s="145"/>
      <c r="B2" s="145"/>
      <c r="C2" s="145"/>
      <c r="D2" s="145"/>
      <c r="E2" s="145"/>
      <c r="F2" s="145"/>
      <c r="G2" s="145"/>
      <c r="H2" s="145"/>
      <c r="I2" s="146" t="s">
        <v>156</v>
      </c>
    </row>
    <row r="3" spans="1:9" ht="18.5" x14ac:dyDescent="0.45">
      <c r="A3" s="223" t="s">
        <v>157</v>
      </c>
      <c r="B3" s="223"/>
      <c r="C3" s="223"/>
      <c r="D3" s="223"/>
      <c r="E3" s="223"/>
      <c r="F3" s="223"/>
      <c r="G3" s="223"/>
      <c r="H3" s="223"/>
      <c r="I3" s="223"/>
    </row>
    <row r="4" spans="1:9" x14ac:dyDescent="0.35">
      <c r="A4" s="6"/>
      <c r="B4" s="6"/>
      <c r="C4" s="147"/>
      <c r="D4" s="147"/>
      <c r="E4" s="147"/>
      <c r="F4" s="147"/>
      <c r="G4" s="6"/>
      <c r="H4" s="6"/>
      <c r="I4" s="148"/>
    </row>
    <row r="5" spans="1:9" x14ac:dyDescent="0.35">
      <c r="A5" s="6"/>
      <c r="B5" s="31" t="s">
        <v>158</v>
      </c>
      <c r="C5" s="149"/>
      <c r="D5" s="7"/>
      <c r="E5" s="31" t="s">
        <v>159</v>
      </c>
      <c r="F5" s="6"/>
      <c r="G5" s="224"/>
      <c r="H5" s="224"/>
      <c r="I5" s="6"/>
    </row>
    <row r="6" spans="1:9" x14ac:dyDescent="0.35">
      <c r="A6" s="6"/>
      <c r="B6" s="31" t="s">
        <v>160</v>
      </c>
      <c r="C6" s="149"/>
      <c r="D6" s="7"/>
      <c r="E6" s="31" t="s">
        <v>161</v>
      </c>
      <c r="F6" s="6"/>
      <c r="G6" s="225"/>
      <c r="H6" s="225"/>
      <c r="I6" s="6"/>
    </row>
    <row r="7" spans="1:9" x14ac:dyDescent="0.35">
      <c r="A7" s="6"/>
      <c r="B7" s="31" t="s">
        <v>162</v>
      </c>
      <c r="C7" s="149"/>
      <c r="D7" s="7"/>
      <c r="E7" s="31" t="s">
        <v>163</v>
      </c>
      <c r="F7" s="6"/>
      <c r="G7" s="225"/>
      <c r="H7" s="225"/>
      <c r="I7" s="6"/>
    </row>
    <row r="8" spans="1:9" x14ac:dyDescent="0.35">
      <c r="A8" s="6"/>
      <c r="B8" s="31" t="s">
        <v>164</v>
      </c>
      <c r="C8" s="149"/>
      <c r="D8" s="7"/>
      <c r="E8" s="31" t="s">
        <v>165</v>
      </c>
      <c r="F8" s="6"/>
      <c r="G8" s="225"/>
      <c r="H8" s="225"/>
      <c r="I8" s="6"/>
    </row>
    <row r="9" spans="1:9" ht="15" thickBot="1" x14ac:dyDescent="0.4">
      <c r="A9" s="6"/>
      <c r="B9" s="6"/>
      <c r="C9" s="6"/>
      <c r="D9" s="150"/>
      <c r="E9" s="150"/>
      <c r="F9" s="150"/>
      <c r="G9" s="150"/>
      <c r="H9" s="150"/>
      <c r="I9" s="6"/>
    </row>
    <row r="10" spans="1:9" x14ac:dyDescent="0.35">
      <c r="B10" s="201" t="s">
        <v>146</v>
      </c>
      <c r="C10" s="202"/>
      <c r="D10" s="203" t="s">
        <v>147</v>
      </c>
      <c r="E10" s="204"/>
      <c r="F10" s="204"/>
      <c r="G10" s="204"/>
      <c r="H10" s="205"/>
      <c r="I10" s="202" t="s">
        <v>166</v>
      </c>
    </row>
    <row r="11" spans="1:9" ht="15" thickBot="1" x14ac:dyDescent="0.4">
      <c r="B11" s="151" t="s">
        <v>167</v>
      </c>
      <c r="C11" s="152" t="s">
        <v>168</v>
      </c>
      <c r="D11" s="153" t="s">
        <v>169</v>
      </c>
      <c r="E11" s="154" t="s">
        <v>148</v>
      </c>
      <c r="F11" s="154" t="s">
        <v>149</v>
      </c>
      <c r="G11" s="154" t="s">
        <v>150</v>
      </c>
      <c r="H11" s="155" t="s">
        <v>114</v>
      </c>
      <c r="I11" s="206"/>
    </row>
    <row r="12" spans="1:9" x14ac:dyDescent="0.35">
      <c r="B12" s="156" t="s">
        <v>173</v>
      </c>
      <c r="C12" s="157" t="str">
        <f>IF(B12&lt;&gt;"",VLOOKUP('VP2'!B12,'[1]TN Plants'!$A:$B,2,FALSE),"")</f>
        <v>Quercus alba</v>
      </c>
      <c r="D12" s="158"/>
      <c r="E12" s="159"/>
      <c r="F12" s="159"/>
      <c r="G12" s="159"/>
      <c r="H12" s="160"/>
      <c r="I12" s="161" t="str">
        <f t="shared" ref="I12:I27" si="0">IF(SUM(D12:H12)&lt;&gt;0,SUM(D12:H12),"")</f>
        <v/>
      </c>
    </row>
    <row r="13" spans="1:9" x14ac:dyDescent="0.35">
      <c r="B13" s="162"/>
      <c r="C13" s="157" t="str">
        <f>IF(B13&lt;&gt;"",VLOOKUP('VP2'!B13,'[1]TN Plants'!$A:$B,2,FALSE),"")</f>
        <v/>
      </c>
      <c r="D13" s="163"/>
      <c r="E13" s="164"/>
      <c r="F13" s="164"/>
      <c r="G13" s="164"/>
      <c r="H13" s="165"/>
      <c r="I13" s="166" t="str">
        <f t="shared" si="0"/>
        <v/>
      </c>
    </row>
    <row r="14" spans="1:9" x14ac:dyDescent="0.35">
      <c r="B14" s="162"/>
      <c r="C14" s="157" t="str">
        <f>IF(B14&lt;&gt;"",VLOOKUP('VP2'!B14,'[1]TN Plants'!$A:$B,2,FALSE),"")</f>
        <v/>
      </c>
      <c r="D14" s="163"/>
      <c r="E14" s="164"/>
      <c r="F14" s="164"/>
      <c r="G14" s="164"/>
      <c r="H14" s="165"/>
      <c r="I14" s="166" t="str">
        <f t="shared" si="0"/>
        <v/>
      </c>
    </row>
    <row r="15" spans="1:9" x14ac:dyDescent="0.35">
      <c r="B15" s="162"/>
      <c r="C15" s="157" t="str">
        <f>IF(B15&lt;&gt;"",VLOOKUP('VP2'!B15,'[1]TN Plants'!$A:$B,2,FALSE),"")</f>
        <v/>
      </c>
      <c r="D15" s="163"/>
      <c r="E15" s="164"/>
      <c r="F15" s="164"/>
      <c r="G15" s="164"/>
      <c r="H15" s="165"/>
      <c r="I15" s="166" t="str">
        <f t="shared" si="0"/>
        <v/>
      </c>
    </row>
    <row r="16" spans="1:9" x14ac:dyDescent="0.35">
      <c r="B16" s="162"/>
      <c r="C16" s="157" t="str">
        <f>IF(B16&lt;&gt;"",VLOOKUP('VP2'!B16,'[1]TN Plants'!$A:$B,2,FALSE),"")</f>
        <v/>
      </c>
      <c r="D16" s="163"/>
      <c r="E16" s="164"/>
      <c r="F16" s="164"/>
      <c r="G16" s="164"/>
      <c r="H16" s="165"/>
      <c r="I16" s="166" t="str">
        <f t="shared" si="0"/>
        <v/>
      </c>
    </row>
    <row r="17" spans="2:9" x14ac:dyDescent="0.35">
      <c r="B17" s="162"/>
      <c r="C17" s="157" t="str">
        <f>IF(B17&lt;&gt;"",VLOOKUP('VP2'!B17,'[1]TN Plants'!$A:$B,2,FALSE),"")</f>
        <v/>
      </c>
      <c r="D17" s="163"/>
      <c r="E17" s="164"/>
      <c r="F17" s="164"/>
      <c r="G17" s="164"/>
      <c r="H17" s="165"/>
      <c r="I17" s="166" t="str">
        <f t="shared" si="0"/>
        <v/>
      </c>
    </row>
    <row r="18" spans="2:9" x14ac:dyDescent="0.35">
      <c r="B18" s="162"/>
      <c r="C18" s="157" t="str">
        <f>IF(B18&lt;&gt;"",VLOOKUP('VP2'!B18,'[1]TN Plants'!$A:$B,2,FALSE),"")</f>
        <v/>
      </c>
      <c r="D18" s="163"/>
      <c r="E18" s="164"/>
      <c r="F18" s="164"/>
      <c r="G18" s="164"/>
      <c r="H18" s="165"/>
      <c r="I18" s="166" t="str">
        <f t="shared" si="0"/>
        <v/>
      </c>
    </row>
    <row r="19" spans="2:9" x14ac:dyDescent="0.35">
      <c r="B19" s="162"/>
      <c r="C19" s="157" t="str">
        <f>IF(B19&lt;&gt;"",VLOOKUP('VP2'!B19,'[1]TN Plants'!$A:$B,2,FALSE),"")</f>
        <v/>
      </c>
      <c r="D19" s="163"/>
      <c r="E19" s="164"/>
      <c r="F19" s="164"/>
      <c r="G19" s="164"/>
      <c r="H19" s="165"/>
      <c r="I19" s="166" t="str">
        <f t="shared" si="0"/>
        <v/>
      </c>
    </row>
    <row r="20" spans="2:9" x14ac:dyDescent="0.35">
      <c r="B20" s="162"/>
      <c r="C20" s="157" t="str">
        <f>IF(B20&lt;&gt;"",VLOOKUP('VP2'!B20,'[1]TN Plants'!$A:$B,2,FALSE),"")</f>
        <v/>
      </c>
      <c r="D20" s="163"/>
      <c r="E20" s="164"/>
      <c r="F20" s="164"/>
      <c r="G20" s="164"/>
      <c r="H20" s="165"/>
      <c r="I20" s="166" t="str">
        <f t="shared" si="0"/>
        <v/>
      </c>
    </row>
    <row r="21" spans="2:9" x14ac:dyDescent="0.35">
      <c r="B21" s="162"/>
      <c r="C21" s="157" t="str">
        <f>IF(B21&lt;&gt;"",VLOOKUP('VP2'!B21,'[1]TN Plants'!$A:$B,2,FALSE),"")</f>
        <v/>
      </c>
      <c r="D21" s="163"/>
      <c r="E21" s="164"/>
      <c r="F21" s="164"/>
      <c r="G21" s="164"/>
      <c r="H21" s="165"/>
      <c r="I21" s="166" t="str">
        <f t="shared" si="0"/>
        <v/>
      </c>
    </row>
    <row r="22" spans="2:9" x14ac:dyDescent="0.35">
      <c r="B22" s="162"/>
      <c r="C22" s="157" t="str">
        <f>IF(B22&lt;&gt;"",VLOOKUP('VP2'!B22,'[1]TN Plants'!$A:$B,2,FALSE),"")</f>
        <v/>
      </c>
      <c r="D22" s="163"/>
      <c r="E22" s="164"/>
      <c r="F22" s="164"/>
      <c r="G22" s="164"/>
      <c r="H22" s="165"/>
      <c r="I22" s="166" t="str">
        <f t="shared" si="0"/>
        <v/>
      </c>
    </row>
    <row r="23" spans="2:9" x14ac:dyDescent="0.35">
      <c r="B23" s="162"/>
      <c r="C23" s="157" t="str">
        <f>IF(B23&lt;&gt;"",VLOOKUP('VP2'!B23,'[1]TN Plants'!$A:$B,2,FALSE),"")</f>
        <v/>
      </c>
      <c r="D23" s="163"/>
      <c r="E23" s="164"/>
      <c r="F23" s="164"/>
      <c r="G23" s="164"/>
      <c r="H23" s="165"/>
      <c r="I23" s="166" t="str">
        <f t="shared" si="0"/>
        <v/>
      </c>
    </row>
    <row r="24" spans="2:9" x14ac:dyDescent="0.35">
      <c r="B24" s="162"/>
      <c r="C24" s="157" t="str">
        <f>IF(B24&lt;&gt;"",VLOOKUP('VP2'!B24,'[1]TN Plants'!$A:$B,2,FALSE),"")</f>
        <v/>
      </c>
      <c r="D24" s="163"/>
      <c r="E24" s="164"/>
      <c r="F24" s="164"/>
      <c r="G24" s="164"/>
      <c r="H24" s="165"/>
      <c r="I24" s="166" t="str">
        <f t="shared" si="0"/>
        <v/>
      </c>
    </row>
    <row r="25" spans="2:9" x14ac:dyDescent="0.35">
      <c r="B25" s="162"/>
      <c r="C25" s="157" t="str">
        <f>IF(B25&lt;&gt;"",VLOOKUP('VP2'!B25,'[1]TN Plants'!$A:$B,2,FALSE),"")</f>
        <v/>
      </c>
      <c r="D25" s="163"/>
      <c r="E25" s="164"/>
      <c r="F25" s="164"/>
      <c r="G25" s="164"/>
      <c r="H25" s="165"/>
      <c r="I25" s="166" t="str">
        <f t="shared" si="0"/>
        <v/>
      </c>
    </row>
    <row r="26" spans="2:9" x14ac:dyDescent="0.35">
      <c r="B26" s="162"/>
      <c r="C26" s="157" t="str">
        <f>IF(B26&lt;&gt;"",VLOOKUP('VP2'!B26,'[1]TN Plants'!$A:$B,2,FALSE),"")</f>
        <v/>
      </c>
      <c r="D26" s="163"/>
      <c r="E26" s="164"/>
      <c r="F26" s="164"/>
      <c r="G26" s="164"/>
      <c r="H26" s="165"/>
      <c r="I26" s="166" t="str">
        <f t="shared" si="0"/>
        <v/>
      </c>
    </row>
    <row r="27" spans="2:9" x14ac:dyDescent="0.35">
      <c r="B27" s="162"/>
      <c r="C27" s="157" t="str">
        <f>IF(B27&lt;&gt;"",VLOOKUP('VP2'!B27,'[1]TN Plants'!$A:$B,2,FALSE),"")</f>
        <v/>
      </c>
      <c r="D27" s="163"/>
      <c r="E27" s="164"/>
      <c r="F27" s="164"/>
      <c r="G27" s="164"/>
      <c r="H27" s="165"/>
      <c r="I27" s="166" t="str">
        <f t="shared" si="0"/>
        <v/>
      </c>
    </row>
    <row r="28" spans="2:9" ht="15" thickBot="1" x14ac:dyDescent="0.4">
      <c r="B28" s="167"/>
      <c r="C28" s="157" t="str">
        <f>IF(B28&lt;&gt;"",VLOOKUP('VP2'!B28,'[1]TN Plants'!$A:$B,2,FALSE),"")</f>
        <v/>
      </c>
      <c r="D28" s="168"/>
      <c r="E28" s="169"/>
      <c r="F28" s="169"/>
      <c r="G28" s="169"/>
      <c r="H28" s="170"/>
      <c r="I28" s="171" t="str">
        <f>IF(SUM(D28:H28)&lt;&gt;0,SUM(D28:H28),"")</f>
        <v/>
      </c>
    </row>
    <row r="29" spans="2:9" ht="15" thickBot="1" x14ac:dyDescent="0.4">
      <c r="B29" s="207" t="s">
        <v>19</v>
      </c>
      <c r="C29" s="208"/>
      <c r="D29" s="172" t="str">
        <f>IF(SUM(D12:D28)&lt;&gt;0,SUM(D12:D28),"")</f>
        <v/>
      </c>
      <c r="E29" s="173" t="str">
        <f t="shared" ref="E29:I29" si="1">IF(SUM(E12:E28)&lt;&gt;0,SUM(E12:E28),"")</f>
        <v/>
      </c>
      <c r="F29" s="173" t="str">
        <f t="shared" si="1"/>
        <v/>
      </c>
      <c r="G29" s="173" t="str">
        <f t="shared" si="1"/>
        <v/>
      </c>
      <c r="H29" s="174" t="str">
        <f t="shared" si="1"/>
        <v/>
      </c>
      <c r="I29" s="175" t="str">
        <f t="shared" si="1"/>
        <v/>
      </c>
    </row>
    <row r="30" spans="2:9" ht="15" thickBot="1" x14ac:dyDescent="0.4"/>
    <row r="31" spans="2:9" ht="15" thickBot="1" x14ac:dyDescent="0.4">
      <c r="B31" s="203" t="s">
        <v>170</v>
      </c>
      <c r="C31" s="205"/>
      <c r="D31" s="217" t="s">
        <v>171</v>
      </c>
      <c r="F31" s="207" t="s">
        <v>172</v>
      </c>
      <c r="G31" s="208"/>
      <c r="H31" s="208"/>
      <c r="I31" s="219"/>
    </row>
    <row r="32" spans="2:9" ht="15" thickBot="1" x14ac:dyDescent="0.4">
      <c r="B32" s="151" t="s">
        <v>167</v>
      </c>
      <c r="C32" s="176" t="s">
        <v>168</v>
      </c>
      <c r="D32" s="218"/>
      <c r="F32" s="220"/>
      <c r="G32" s="221"/>
      <c r="H32" s="221"/>
      <c r="I32" s="222"/>
    </row>
    <row r="33" spans="2:9" x14ac:dyDescent="0.35">
      <c r="B33" s="156"/>
      <c r="C33" s="177"/>
      <c r="D33" s="161"/>
      <c r="F33" s="209"/>
      <c r="G33" s="210"/>
      <c r="H33" s="210"/>
      <c r="I33" s="211"/>
    </row>
    <row r="34" spans="2:9" x14ac:dyDescent="0.35">
      <c r="B34" s="162"/>
      <c r="C34" s="178" t="str">
        <f>IF(B34&lt;&gt;"",VLOOKUP('VP2'!B34,'[1]TN Plants'!$A:$B,2,FALSE),"")</f>
        <v/>
      </c>
      <c r="D34" s="166"/>
      <c r="F34" s="209"/>
      <c r="G34" s="210"/>
      <c r="H34" s="210"/>
      <c r="I34" s="211"/>
    </row>
    <row r="35" spans="2:9" x14ac:dyDescent="0.35">
      <c r="B35" s="162"/>
      <c r="C35" s="178" t="str">
        <f>IF(B35&lt;&gt;"",VLOOKUP('VP2'!B35,'[1]TN Plants'!$A:$B,2,FALSE),"")</f>
        <v/>
      </c>
      <c r="D35" s="166"/>
      <c r="F35" s="209"/>
      <c r="G35" s="210"/>
      <c r="H35" s="210"/>
      <c r="I35" s="211"/>
    </row>
    <row r="36" spans="2:9" x14ac:dyDescent="0.35">
      <c r="B36" s="162"/>
      <c r="C36" s="178" t="str">
        <f>IF(B36&lt;&gt;"",VLOOKUP('VP2'!B36,'[1]TN Plants'!$A:$B,2,FALSE),"")</f>
        <v/>
      </c>
      <c r="D36" s="166"/>
      <c r="F36" s="209"/>
      <c r="G36" s="210"/>
      <c r="H36" s="210"/>
      <c r="I36" s="211"/>
    </row>
    <row r="37" spans="2:9" ht="15" thickBot="1" x14ac:dyDescent="0.4">
      <c r="B37" s="167"/>
      <c r="C37" s="179" t="str">
        <f>IF(B37&lt;&gt;"",VLOOKUP('VP2'!B37,'[1]TN Plants'!$A:$B,2,FALSE),"")</f>
        <v/>
      </c>
      <c r="D37" s="180"/>
      <c r="F37" s="209"/>
      <c r="G37" s="210"/>
      <c r="H37" s="210"/>
      <c r="I37" s="211"/>
    </row>
    <row r="38" spans="2:9" ht="15" thickBot="1" x14ac:dyDescent="0.4">
      <c r="B38" s="212" t="s">
        <v>19</v>
      </c>
      <c r="C38" s="213"/>
      <c r="D38" s="181">
        <f>SUM(D33:D37)/100</f>
        <v>0</v>
      </c>
      <c r="F38" s="214"/>
      <c r="G38" s="215"/>
      <c r="H38" s="215"/>
      <c r="I38" s="216"/>
    </row>
    <row r="39" spans="2:9" ht="15" thickBot="1" x14ac:dyDescent="0.4"/>
    <row r="40" spans="2:9" x14ac:dyDescent="0.35">
      <c r="B40" s="201" t="s">
        <v>174</v>
      </c>
      <c r="C40" s="202"/>
      <c r="D40" s="203" t="s">
        <v>147</v>
      </c>
      <c r="E40" s="204"/>
      <c r="F40" s="204"/>
      <c r="G40" s="204"/>
      <c r="H40" s="205"/>
      <c r="I40" s="202" t="s">
        <v>166</v>
      </c>
    </row>
    <row r="41" spans="2:9" ht="15" thickBot="1" x14ac:dyDescent="0.4">
      <c r="B41" s="151" t="s">
        <v>167</v>
      </c>
      <c r="C41" s="152" t="s">
        <v>168</v>
      </c>
      <c r="D41" s="153" t="s">
        <v>169</v>
      </c>
      <c r="E41" s="154" t="s">
        <v>148</v>
      </c>
      <c r="F41" s="154" t="s">
        <v>149</v>
      </c>
      <c r="G41" s="154" t="s">
        <v>150</v>
      </c>
      <c r="H41" s="155" t="s">
        <v>114</v>
      </c>
      <c r="I41" s="206"/>
    </row>
    <row r="42" spans="2:9" x14ac:dyDescent="0.35">
      <c r="B42" s="156"/>
      <c r="C42" s="157"/>
      <c r="D42" s="158"/>
      <c r="E42" s="159"/>
      <c r="F42" s="159"/>
      <c r="G42" s="159"/>
      <c r="H42" s="160"/>
      <c r="I42" s="161" t="str">
        <f t="shared" ref="I42:I46" si="2">IF(SUM(D42:H42)&lt;&gt;0,SUM(D42:H42),"")</f>
        <v/>
      </c>
    </row>
    <row r="43" spans="2:9" x14ac:dyDescent="0.35">
      <c r="B43" s="162"/>
      <c r="C43" s="157" t="str">
        <f>IF(B43&lt;&gt;"",VLOOKUP('VP2'!B43,'[1]TN Plants'!$A:$B,2,FALSE),"")</f>
        <v/>
      </c>
      <c r="D43" s="163"/>
      <c r="E43" s="164"/>
      <c r="F43" s="164"/>
      <c r="G43" s="164"/>
      <c r="H43" s="165"/>
      <c r="I43" s="166" t="str">
        <f t="shared" si="2"/>
        <v/>
      </c>
    </row>
    <row r="44" spans="2:9" x14ac:dyDescent="0.35">
      <c r="B44" s="162"/>
      <c r="C44" s="157" t="str">
        <f>IF(B44&lt;&gt;"",VLOOKUP('VP2'!B44,'[1]TN Plants'!$A:$B,2,FALSE),"")</f>
        <v/>
      </c>
      <c r="D44" s="163"/>
      <c r="E44" s="164"/>
      <c r="F44" s="164"/>
      <c r="G44" s="164"/>
      <c r="H44" s="165"/>
      <c r="I44" s="166" t="str">
        <f t="shared" si="2"/>
        <v/>
      </c>
    </row>
    <row r="45" spans="2:9" x14ac:dyDescent="0.35">
      <c r="B45" s="162"/>
      <c r="C45" s="157" t="str">
        <f>IF(B45&lt;&gt;"",VLOOKUP('VP2'!B45,'[1]TN Plants'!$A:$B,2,FALSE),"")</f>
        <v/>
      </c>
      <c r="D45" s="163"/>
      <c r="E45" s="164"/>
      <c r="F45" s="164"/>
      <c r="G45" s="164"/>
      <c r="H45" s="165"/>
      <c r="I45" s="166" t="str">
        <f t="shared" si="2"/>
        <v/>
      </c>
    </row>
    <row r="46" spans="2:9" ht="15" thickBot="1" x14ac:dyDescent="0.4">
      <c r="B46" s="162"/>
      <c r="C46" s="157" t="str">
        <f>IF(B46&lt;&gt;"",VLOOKUP('VP2'!B46,'[1]TN Plants'!$A:$B,2,FALSE),"")</f>
        <v/>
      </c>
      <c r="D46" s="163"/>
      <c r="E46" s="164"/>
      <c r="F46" s="164"/>
      <c r="G46" s="164"/>
      <c r="H46" s="165"/>
      <c r="I46" s="166" t="str">
        <f t="shared" si="2"/>
        <v/>
      </c>
    </row>
    <row r="47" spans="2:9" ht="15" thickBot="1" x14ac:dyDescent="0.4">
      <c r="B47" s="207" t="s">
        <v>19</v>
      </c>
      <c r="C47" s="208"/>
      <c r="D47" s="172" t="str">
        <f>IF(SUM(D42:D46)&lt;&gt;0,SUM(D42:D46),"")</f>
        <v/>
      </c>
      <c r="E47" s="173" t="str">
        <f t="shared" ref="E47:I47" si="3">IF(SUM(E42:E46)&lt;&gt;0,SUM(E42:E46),"")</f>
        <v/>
      </c>
      <c r="F47" s="173" t="str">
        <f t="shared" si="3"/>
        <v/>
      </c>
      <c r="G47" s="173" t="str">
        <f t="shared" si="3"/>
        <v/>
      </c>
      <c r="H47" s="174" t="str">
        <f t="shared" si="3"/>
        <v/>
      </c>
      <c r="I47" s="175" t="str">
        <f t="shared" si="3"/>
        <v/>
      </c>
    </row>
  </sheetData>
  <mergeCells count="24">
    <mergeCell ref="F33:I33"/>
    <mergeCell ref="A3:I3"/>
    <mergeCell ref="G5:H5"/>
    <mergeCell ref="G6:H6"/>
    <mergeCell ref="G7:H7"/>
    <mergeCell ref="G8:H8"/>
    <mergeCell ref="B10:C10"/>
    <mergeCell ref="D10:H10"/>
    <mergeCell ref="I10:I11"/>
    <mergeCell ref="B29:C29"/>
    <mergeCell ref="B31:C31"/>
    <mergeCell ref="D31:D32"/>
    <mergeCell ref="F31:I31"/>
    <mergeCell ref="F32:I32"/>
    <mergeCell ref="B40:C40"/>
    <mergeCell ref="D40:H40"/>
    <mergeCell ref="I40:I41"/>
    <mergeCell ref="B47:C47"/>
    <mergeCell ref="F34:I34"/>
    <mergeCell ref="F35:I35"/>
    <mergeCell ref="F36:I36"/>
    <mergeCell ref="F37:I37"/>
    <mergeCell ref="B38:C38"/>
    <mergeCell ref="F38:I38"/>
  </mergeCells>
  <conditionalFormatting sqref="C12:C28">
    <cfRule type="expression" dxfId="2" priority="3">
      <formula>ISERROR(C12)</formula>
    </cfRule>
  </conditionalFormatting>
  <conditionalFormatting sqref="C33:C37">
    <cfRule type="expression" dxfId="1" priority="2">
      <formula>ISERROR(C33)</formula>
    </cfRule>
  </conditionalFormatting>
  <conditionalFormatting sqref="C42:C46">
    <cfRule type="expression" dxfId="0" priority="1">
      <formula>ISERROR(C42)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MY1</vt:lpstr>
      <vt:lpstr>MY1-Reduced</vt:lpstr>
      <vt:lpstr>VP1</vt:lpstr>
      <vt:lpstr>VP2</vt:lpstr>
      <vt:lpstr>'MY1'!os</vt:lpstr>
      <vt:lpstr>'MY1-Reduced'!os</vt:lpstr>
      <vt:lpstr>'VP1'!Print_Area</vt:lpstr>
      <vt:lpstr>'VP2'!Print_Area</vt:lpstr>
      <vt:lpstr>'MY1'!Totalplots</vt:lpstr>
      <vt:lpstr>'MY1-Reduced'!Totalplots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bhemel</dc:creator>
  <cp:lastModifiedBy>Sky Jones</cp:lastModifiedBy>
  <cp:lastPrinted>2012-08-22T18:30:20Z</cp:lastPrinted>
  <dcterms:created xsi:type="dcterms:W3CDTF">2011-06-30T18:58:23Z</dcterms:created>
  <dcterms:modified xsi:type="dcterms:W3CDTF">2018-09-10T21:12:41Z</dcterms:modified>
</cp:coreProperties>
</file>